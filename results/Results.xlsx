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o\Programs\Git-Drift\results\"/>
    </mc:Choice>
  </mc:AlternateContent>
  <xr:revisionPtr revIDLastSave="0" documentId="13_ncr:1_{F83521CD-70AE-45BA-AC57-2E705286365D}" xr6:coauthVersionLast="47" xr6:coauthVersionMax="47" xr10:uidLastSave="{00000000-0000-0000-0000-000000000000}"/>
  <bookViews>
    <workbookView xWindow="-108" yWindow="-108" windowWidth="23256" windowHeight="12456" xr2:uid="{BB0E52D8-181A-432C-A51E-504121D57FE8}"/>
  </bookViews>
  <sheets>
    <sheet name="Default_result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6" i="1" l="1"/>
  <c r="Y107" i="1"/>
  <c r="Y108" i="1"/>
  <c r="Y109" i="1"/>
  <c r="Y110" i="1"/>
  <c r="Y111" i="1"/>
  <c r="Y105" i="1"/>
  <c r="AA723" i="1"/>
  <c r="X723" i="1"/>
  <c r="V723" i="1"/>
  <c r="U723" i="1"/>
  <c r="T723" i="1"/>
  <c r="AA722" i="1"/>
  <c r="X722" i="1"/>
  <c r="V722" i="1"/>
  <c r="U722" i="1"/>
  <c r="T722" i="1"/>
  <c r="AA721" i="1"/>
  <c r="X721" i="1"/>
  <c r="V721" i="1"/>
  <c r="AA720" i="1"/>
  <c r="V720" i="1"/>
  <c r="U720" i="1"/>
  <c r="T720" i="1"/>
  <c r="AA719" i="1"/>
  <c r="V719" i="1"/>
  <c r="U719" i="1"/>
  <c r="T719" i="1"/>
  <c r="S719" i="1"/>
  <c r="AA718" i="1"/>
  <c r="X718" i="1"/>
  <c r="V718" i="1"/>
  <c r="U718" i="1"/>
  <c r="T718" i="1"/>
  <c r="AA717" i="1"/>
  <c r="X717" i="1"/>
  <c r="V717" i="1"/>
  <c r="U717" i="1"/>
  <c r="T717" i="1"/>
  <c r="S717" i="1"/>
  <c r="Q717" i="1"/>
  <c r="P717" i="1"/>
  <c r="AA106" i="1"/>
  <c r="X106" i="1"/>
  <c r="V106" i="1"/>
  <c r="U106" i="1"/>
  <c r="T106" i="1"/>
  <c r="AA105" i="1"/>
  <c r="X105" i="1"/>
  <c r="V105" i="1"/>
  <c r="U105" i="1"/>
  <c r="T105" i="1"/>
  <c r="S105" i="1"/>
  <c r="Q105" i="1"/>
  <c r="P105" i="1"/>
  <c r="AH44" i="2"/>
  <c r="AG44" i="2"/>
  <c r="AH43" i="2"/>
  <c r="AG43" i="2"/>
  <c r="AH42" i="2"/>
  <c r="AG42" i="2"/>
  <c r="AH41" i="2"/>
  <c r="AG41" i="2"/>
  <c r="AH40" i="2"/>
  <c r="AG40" i="2"/>
  <c r="AH39" i="2"/>
  <c r="AG39" i="2"/>
  <c r="AH38" i="2"/>
  <c r="AG38" i="2"/>
  <c r="AH37" i="2"/>
  <c r="AG37" i="2"/>
  <c r="AH36" i="2"/>
  <c r="AG36" i="2"/>
  <c r="AH35" i="2"/>
  <c r="AG35" i="2"/>
  <c r="AH34" i="2"/>
  <c r="AG34" i="2"/>
  <c r="AH33" i="2"/>
  <c r="AG33" i="2"/>
  <c r="AH32" i="2"/>
  <c r="AG32" i="2"/>
  <c r="AH31" i="2"/>
  <c r="AG31" i="2"/>
  <c r="AH30" i="2"/>
  <c r="AG30" i="2"/>
  <c r="AH29" i="2"/>
  <c r="AG29" i="2"/>
  <c r="AH28" i="2"/>
  <c r="AG28" i="2"/>
  <c r="AH27" i="2"/>
  <c r="AG27" i="2"/>
  <c r="AH26" i="2"/>
  <c r="AG26" i="2"/>
  <c r="AH25" i="2"/>
  <c r="AG25" i="2"/>
  <c r="AH24" i="2"/>
  <c r="AG24" i="2"/>
  <c r="AH23" i="2"/>
  <c r="AG23" i="2"/>
  <c r="AH22" i="2"/>
  <c r="AG22" i="2"/>
  <c r="AH21" i="2"/>
  <c r="AG21" i="2"/>
  <c r="AH20" i="2"/>
  <c r="AG20" i="2"/>
  <c r="AH19" i="2"/>
  <c r="AG19" i="2"/>
  <c r="AH18" i="2"/>
  <c r="AG18" i="2"/>
  <c r="AH17" i="2"/>
  <c r="AG17" i="2"/>
  <c r="AH16" i="2"/>
  <c r="AG16" i="2"/>
  <c r="AH15" i="2"/>
  <c r="AG15" i="2"/>
  <c r="AH14" i="2"/>
  <c r="AG14" i="2"/>
  <c r="AH13" i="2"/>
  <c r="AG13" i="2"/>
  <c r="AH12" i="2"/>
  <c r="AG12" i="2"/>
  <c r="AH11" i="2"/>
  <c r="AG11" i="2"/>
  <c r="AH10" i="2"/>
  <c r="AG10" i="2"/>
  <c r="AH9" i="2"/>
  <c r="AG9" i="2"/>
  <c r="AH8" i="2"/>
  <c r="AG8" i="2"/>
  <c r="AH7" i="2"/>
  <c r="AG7" i="2"/>
  <c r="AH6" i="2"/>
  <c r="AG6" i="2"/>
  <c r="AH5" i="2"/>
  <c r="AG5" i="2"/>
  <c r="AH4" i="2"/>
  <c r="AG4" i="2"/>
  <c r="AH3" i="2"/>
  <c r="AG3" i="2"/>
  <c r="AH2" i="2"/>
  <c r="AG2" i="2"/>
  <c r="H17" i="2"/>
  <c r="H16" i="2"/>
  <c r="H15" i="2"/>
  <c r="H14" i="2"/>
  <c r="H13" i="2"/>
  <c r="H12" i="2"/>
  <c r="H11" i="2"/>
</calcChain>
</file>

<file path=xl/sharedStrings.xml><?xml version="1.0" encoding="utf-8"?>
<sst xmlns="http://schemas.openxmlformats.org/spreadsheetml/2006/main" count="338" uniqueCount="78">
  <si>
    <t>run</t>
  </si>
  <si>
    <t>year</t>
  </si>
  <si>
    <t>n</t>
  </si>
  <si>
    <t>marrs</t>
  </si>
  <si>
    <t>births</t>
  </si>
  <si>
    <t>randDs</t>
  </si>
  <si>
    <t>cullDs</t>
  </si>
  <si>
    <t>GenetDes</t>
  </si>
  <si>
    <t>GeneaDes</t>
  </si>
  <si>
    <t>YDes</t>
  </si>
  <si>
    <t>MtDes</t>
  </si>
  <si>
    <t>nCents</t>
  </si>
  <si>
    <t>nAlleles</t>
  </si>
  <si>
    <t>nBlocks</t>
  </si>
  <si>
    <t>TotFitness</t>
  </si>
  <si>
    <t>nMuts</t>
  </si>
  <si>
    <t>PercSeedGenoRet</t>
  </si>
  <si>
    <t>AvSeedGenoCov</t>
  </si>
  <si>
    <t>AvHet</t>
  </si>
  <si>
    <t>%!f(int=00)</t>
  </si>
  <si>
    <t>%!f(int=3072)</t>
  </si>
  <si>
    <t>%!f(int=11212)</t>
  </si>
  <si>
    <t>%!f(int=673)</t>
  </si>
  <si>
    <t>%!f(int=15763)</t>
  </si>
  <si>
    <t>%!f(int=1629)</t>
  </si>
  <si>
    <t>%!f(int=293)</t>
  </si>
  <si>
    <t>%!f(int=4222)</t>
  </si>
  <si>
    <t>%!f(int=21531)</t>
  </si>
  <si>
    <t>%!f(int=2625)</t>
  </si>
  <si>
    <t>%!f(int=24996)</t>
  </si>
  <si>
    <t>%!f(int=19627)</t>
  </si>
  <si>
    <t>%!f(int=1893)</t>
  </si>
  <si>
    <t>%!f(int=79856)</t>
  </si>
  <si>
    <t>%!f(int=11015)</t>
  </si>
  <si>
    <t>%!f(int=1825)</t>
  </si>
  <si>
    <t>%!f(int=82392)</t>
  </si>
  <si>
    <t>%!f(int=1441)</t>
  </si>
  <si>
    <t>%!f(int=221)</t>
  </si>
  <si>
    <t>%!f(int=10626)</t>
  </si>
  <si>
    <t>%!f(int=1151)</t>
  </si>
  <si>
    <t>%!f(int=8065)</t>
  </si>
  <si>
    <t>%!f(int=16221)</t>
  </si>
  <si>
    <t>%!f(int=32931)</t>
  </si>
  <si>
    <t>%!f(int=13618)</t>
  </si>
  <si>
    <t>%!f(int=112)</t>
  </si>
  <si>
    <t>%!f(int=259678)</t>
  </si>
  <si>
    <t>%!f(int=9525)</t>
  </si>
  <si>
    <t>%!f(int=108)</t>
  </si>
  <si>
    <t>%!f(int=761439)</t>
  </si>
  <si>
    <t>%!f(int=10315)</t>
  </si>
  <si>
    <t>%!f(int=202)</t>
  </si>
  <si>
    <t>%!f(int=1086187)</t>
  </si>
  <si>
    <t>%!f(int=9591)</t>
  </si>
  <si>
    <t>%!f(int=253)</t>
  </si>
  <si>
    <t>%!f(int=1271180)</t>
  </si>
  <si>
    <t>%!f(int=8471)</t>
  </si>
  <si>
    <t>%!f(int=190)</t>
  </si>
  <si>
    <t>%!f(int=1343019)</t>
  </si>
  <si>
    <t>Year</t>
  </si>
  <si>
    <t>g</t>
  </si>
  <si>
    <t>%</t>
  </si>
  <si>
    <t>Genetic</t>
  </si>
  <si>
    <t>Genealogical</t>
  </si>
  <si>
    <t>SD</t>
  </si>
  <si>
    <t>Max</t>
  </si>
  <si>
    <t>Min</t>
  </si>
  <si>
    <t>Av</t>
  </si>
  <si>
    <t>Y</t>
  </si>
  <si>
    <t>%seed</t>
  </si>
  <si>
    <t>Failed</t>
  </si>
  <si>
    <t>av years</t>
  </si>
  <si>
    <t>Genealo</t>
  </si>
  <si>
    <t>Sum</t>
  </si>
  <si>
    <t>Average</t>
  </si>
  <si>
    <t>Running Total</t>
  </si>
  <si>
    <t>Count</t>
  </si>
  <si>
    <t>N</t>
  </si>
  <si>
    <t>100 runs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</si>
</sst>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/>
    <xf numFmtId="0" fontId="0" fillId="0" borderId="0" xfId="0" applyFill="1" applyBorder="1" applyAlignment="1">
      <alignment horizontal="center"/>
    </xf>
    <xf numFmtId="9" fontId="0" fillId="0" borderId="0" xfId="42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Sheet1!$E$11:$E$17</c:f>
              <c:numCache>
                <c:formatCode>General</c:formatCode>
                <c:ptCount val="7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547</c:v>
                </c:pt>
              </c:numCache>
            </c:numRef>
          </c:xVal>
          <c:yVal>
            <c:numRef>
              <c:f>Sheet1!$H$11:$H$17</c:f>
              <c:numCache>
                <c:formatCode>General</c:formatCode>
                <c:ptCount val="7"/>
                <c:pt idx="0">
                  <c:v>1.0438413361169101E-3</c:v>
                </c:pt>
                <c:pt idx="1">
                  <c:v>1.6E-2</c:v>
                </c:pt>
                <c:pt idx="2">
                  <c:v>8.8999999999999996E-2</c:v>
                </c:pt>
                <c:pt idx="3">
                  <c:v>0.27400000000000002</c:v>
                </c:pt>
                <c:pt idx="4">
                  <c:v>0.623</c:v>
                </c:pt>
                <c:pt idx="5">
                  <c:v>0.98299999999999998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EC-47D7-B27B-207991E12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84992"/>
        <c:axId val="74685952"/>
      </c:scatterChart>
      <c:valAx>
        <c:axId val="7468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85952"/>
        <c:crosses val="autoZero"/>
        <c:crossBetween val="midCat"/>
      </c:valAx>
      <c:valAx>
        <c:axId val="746859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8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Sheet1!$AG$1</c:f>
              <c:strCache>
                <c:ptCount val="1"/>
                <c:pt idx="0">
                  <c:v>Genetic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Sheet1!$X$2:$X$44</c:f>
              <c:numCache>
                <c:formatCode>General</c:formatCode>
                <c:ptCount val="43"/>
                <c:pt idx="0">
                  <c:v>0</c:v>
                </c:pt>
                <c:pt idx="1">
                  <c:v>42</c:v>
                </c:pt>
                <c:pt idx="2">
                  <c:v>0</c:v>
                </c:pt>
                <c:pt idx="3">
                  <c:v>32</c:v>
                </c:pt>
                <c:pt idx="4">
                  <c:v>0</c:v>
                </c:pt>
                <c:pt idx="5">
                  <c:v>100</c:v>
                </c:pt>
                <c:pt idx="6">
                  <c:v>122</c:v>
                </c:pt>
                <c:pt idx="7">
                  <c:v>0</c:v>
                </c:pt>
                <c:pt idx="8">
                  <c:v>100</c:v>
                </c:pt>
                <c:pt idx="9">
                  <c:v>200</c:v>
                </c:pt>
                <c:pt idx="10">
                  <c:v>300</c:v>
                </c:pt>
                <c:pt idx="11">
                  <c:v>400</c:v>
                </c:pt>
                <c:pt idx="12">
                  <c:v>500</c:v>
                </c:pt>
                <c:pt idx="13">
                  <c:v>600</c:v>
                </c:pt>
                <c:pt idx="14">
                  <c:v>607</c:v>
                </c:pt>
                <c:pt idx="15">
                  <c:v>0</c:v>
                </c:pt>
                <c:pt idx="16">
                  <c:v>15</c:v>
                </c:pt>
                <c:pt idx="17">
                  <c:v>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540</c:v>
                </c:pt>
                <c:pt idx="24">
                  <c:v>0</c:v>
                </c:pt>
                <c:pt idx="25">
                  <c:v>4</c:v>
                </c:pt>
                <c:pt idx="26">
                  <c:v>0</c:v>
                </c:pt>
                <c:pt idx="27">
                  <c:v>100</c:v>
                </c:pt>
                <c:pt idx="28">
                  <c:v>200</c:v>
                </c:pt>
                <c:pt idx="29">
                  <c:v>300</c:v>
                </c:pt>
                <c:pt idx="30">
                  <c:v>400</c:v>
                </c:pt>
                <c:pt idx="31">
                  <c:v>500</c:v>
                </c:pt>
                <c:pt idx="32">
                  <c:v>600</c:v>
                </c:pt>
                <c:pt idx="33">
                  <c:v>609</c:v>
                </c:pt>
                <c:pt idx="34">
                  <c:v>0</c:v>
                </c:pt>
                <c:pt idx="35">
                  <c:v>100</c:v>
                </c:pt>
                <c:pt idx="36">
                  <c:v>200</c:v>
                </c:pt>
                <c:pt idx="37">
                  <c:v>300</c:v>
                </c:pt>
                <c:pt idx="38">
                  <c:v>400</c:v>
                </c:pt>
                <c:pt idx="39">
                  <c:v>500</c:v>
                </c:pt>
                <c:pt idx="40">
                  <c:v>548</c:v>
                </c:pt>
                <c:pt idx="41">
                  <c:v>0</c:v>
                </c:pt>
                <c:pt idx="42">
                  <c:v>4</c:v>
                </c:pt>
              </c:numCache>
            </c:numRef>
          </c:xVal>
          <c:yVal>
            <c:numRef>
              <c:f>Sheet1!$AG$2:$AG$44</c:f>
              <c:numCache>
                <c:formatCode>General</c:formatCode>
                <c:ptCount val="43"/>
                <c:pt idx="0">
                  <c:v>1.0507512871703268E-4</c:v>
                </c:pt>
                <c:pt idx="1">
                  <c:v>0</c:v>
                </c:pt>
                <c:pt idx="2">
                  <c:v>1.0442773600668337E-4</c:v>
                </c:pt>
                <c:pt idx="3">
                  <c:v>0</c:v>
                </c:pt>
                <c:pt idx="4">
                  <c:v>1.050420168067227E-4</c:v>
                </c:pt>
                <c:pt idx="5">
                  <c:v>1E-4</c:v>
                </c:pt>
                <c:pt idx="6">
                  <c:v>0</c:v>
                </c:pt>
                <c:pt idx="7">
                  <c:v>1.0489877268435959E-4</c:v>
                </c:pt>
                <c:pt idx="8">
                  <c:v>8.9999999999999998E-4</c:v>
                </c:pt>
                <c:pt idx="9">
                  <c:v>5.3E-3</c:v>
                </c:pt>
                <c:pt idx="10">
                  <c:v>2.7300000000000001E-2</c:v>
                </c:pt>
                <c:pt idx="11">
                  <c:v>5.2400000000000002E-2</c:v>
                </c:pt>
                <c:pt idx="12">
                  <c:v>7.3300000000000004E-2</c:v>
                </c:pt>
                <c:pt idx="13">
                  <c:v>9.4299999999999995E-2</c:v>
                </c:pt>
                <c:pt idx="14">
                  <c:v>9.6600000000000005E-2</c:v>
                </c:pt>
                <c:pt idx="15">
                  <c:v>1.0483279169724289E-4</c:v>
                </c:pt>
                <c:pt idx="16">
                  <c:v>0</c:v>
                </c:pt>
                <c:pt idx="17">
                  <c:v>1.0474494605635278E-4</c:v>
                </c:pt>
                <c:pt idx="18">
                  <c:v>3.0999999999999999E-3</c:v>
                </c:pt>
                <c:pt idx="19">
                  <c:v>2.9700000000000001E-2</c:v>
                </c:pt>
                <c:pt idx="20">
                  <c:v>0.113</c:v>
                </c:pt>
                <c:pt idx="21">
                  <c:v>0.19239999999999999</c:v>
                </c:pt>
                <c:pt idx="22">
                  <c:v>0.2356</c:v>
                </c:pt>
                <c:pt idx="23">
                  <c:v>0.24249999999999999</c:v>
                </c:pt>
                <c:pt idx="24">
                  <c:v>1.0471204188481675E-4</c:v>
                </c:pt>
                <c:pt idx="25">
                  <c:v>0</c:v>
                </c:pt>
                <c:pt idx="26">
                  <c:v>1.0485477613505295E-4</c:v>
                </c:pt>
                <c:pt idx="27">
                  <c:v>3.5999999999999999E-3</c:v>
                </c:pt>
                <c:pt idx="28">
                  <c:v>3.7999999999999999E-2</c:v>
                </c:pt>
                <c:pt idx="29">
                  <c:v>0.15859999999999999</c:v>
                </c:pt>
                <c:pt idx="30">
                  <c:v>0.28349999999999997</c:v>
                </c:pt>
                <c:pt idx="31">
                  <c:v>0.38319999999999999</c:v>
                </c:pt>
                <c:pt idx="32">
                  <c:v>0.45960000000000001</c:v>
                </c:pt>
                <c:pt idx="33">
                  <c:v>0.46439999999999998</c:v>
                </c:pt>
                <c:pt idx="34">
                  <c:v>1.0460251046025104E-4</c:v>
                </c:pt>
                <c:pt idx="35">
                  <c:v>7.1000000000000004E-3</c:v>
                </c:pt>
                <c:pt idx="36">
                  <c:v>4.1200000000000001E-2</c:v>
                </c:pt>
                <c:pt idx="37">
                  <c:v>0.17399999999999999</c:v>
                </c:pt>
                <c:pt idx="38">
                  <c:v>0.31459999999999999</c:v>
                </c:pt>
                <c:pt idx="39">
                  <c:v>0.40839999999999999</c:v>
                </c:pt>
                <c:pt idx="40">
                  <c:v>0.44769999999999999</c:v>
                </c:pt>
                <c:pt idx="41">
                  <c:v>1.0510826150935464E-4</c:v>
                </c:pt>
                <c:pt idx="4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FB-4683-AD7A-601F8D89191B}"/>
            </c:ext>
          </c:extLst>
        </c:ser>
        <c:ser>
          <c:idx val="1"/>
          <c:order val="1"/>
          <c:tx>
            <c:strRef>
              <c:f>Sheet1!$AH$1</c:f>
              <c:strCache>
                <c:ptCount val="1"/>
                <c:pt idx="0">
                  <c:v>Genealogical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Sheet1!$X$2:$X$44</c:f>
              <c:numCache>
                <c:formatCode>General</c:formatCode>
                <c:ptCount val="43"/>
                <c:pt idx="0">
                  <c:v>0</c:v>
                </c:pt>
                <c:pt idx="1">
                  <c:v>42</c:v>
                </c:pt>
                <c:pt idx="2">
                  <c:v>0</c:v>
                </c:pt>
                <c:pt idx="3">
                  <c:v>32</c:v>
                </c:pt>
                <c:pt idx="4">
                  <c:v>0</c:v>
                </c:pt>
                <c:pt idx="5">
                  <c:v>100</c:v>
                </c:pt>
                <c:pt idx="6">
                  <c:v>122</c:v>
                </c:pt>
                <c:pt idx="7">
                  <c:v>0</c:v>
                </c:pt>
                <c:pt idx="8">
                  <c:v>100</c:v>
                </c:pt>
                <c:pt idx="9">
                  <c:v>200</c:v>
                </c:pt>
                <c:pt idx="10">
                  <c:v>300</c:v>
                </c:pt>
                <c:pt idx="11">
                  <c:v>400</c:v>
                </c:pt>
                <c:pt idx="12">
                  <c:v>500</c:v>
                </c:pt>
                <c:pt idx="13">
                  <c:v>600</c:v>
                </c:pt>
                <c:pt idx="14">
                  <c:v>607</c:v>
                </c:pt>
                <c:pt idx="15">
                  <c:v>0</c:v>
                </c:pt>
                <c:pt idx="16">
                  <c:v>15</c:v>
                </c:pt>
                <c:pt idx="17">
                  <c:v>0</c:v>
                </c:pt>
                <c:pt idx="18">
                  <c:v>100</c:v>
                </c:pt>
                <c:pt idx="19">
                  <c:v>200</c:v>
                </c:pt>
                <c:pt idx="20">
                  <c:v>300</c:v>
                </c:pt>
                <c:pt idx="21">
                  <c:v>400</c:v>
                </c:pt>
                <c:pt idx="22">
                  <c:v>500</c:v>
                </c:pt>
                <c:pt idx="23">
                  <c:v>540</c:v>
                </c:pt>
                <c:pt idx="24">
                  <c:v>0</c:v>
                </c:pt>
                <c:pt idx="25">
                  <c:v>4</c:v>
                </c:pt>
                <c:pt idx="26">
                  <c:v>0</c:v>
                </c:pt>
                <c:pt idx="27">
                  <c:v>100</c:v>
                </c:pt>
                <c:pt idx="28">
                  <c:v>200</c:v>
                </c:pt>
                <c:pt idx="29">
                  <c:v>300</c:v>
                </c:pt>
                <c:pt idx="30">
                  <c:v>400</c:v>
                </c:pt>
                <c:pt idx="31">
                  <c:v>500</c:v>
                </c:pt>
                <c:pt idx="32">
                  <c:v>600</c:v>
                </c:pt>
                <c:pt idx="33">
                  <c:v>609</c:v>
                </c:pt>
                <c:pt idx="34">
                  <c:v>0</c:v>
                </c:pt>
                <c:pt idx="35">
                  <c:v>100</c:v>
                </c:pt>
                <c:pt idx="36">
                  <c:v>200</c:v>
                </c:pt>
                <c:pt idx="37">
                  <c:v>300</c:v>
                </c:pt>
                <c:pt idx="38">
                  <c:v>400</c:v>
                </c:pt>
                <c:pt idx="39">
                  <c:v>500</c:v>
                </c:pt>
                <c:pt idx="40">
                  <c:v>548</c:v>
                </c:pt>
                <c:pt idx="41">
                  <c:v>0</c:v>
                </c:pt>
                <c:pt idx="42">
                  <c:v>4</c:v>
                </c:pt>
              </c:numCache>
            </c:numRef>
          </c:xVal>
          <c:yVal>
            <c:numRef>
              <c:f>Sheet1!$AH$2:$AH$44</c:f>
              <c:numCache>
                <c:formatCode>General</c:formatCode>
                <c:ptCount val="43"/>
                <c:pt idx="0">
                  <c:v>1.0507512871703268E-4</c:v>
                </c:pt>
                <c:pt idx="1">
                  <c:v>0</c:v>
                </c:pt>
                <c:pt idx="2">
                  <c:v>1.0442773600668337E-4</c:v>
                </c:pt>
                <c:pt idx="3">
                  <c:v>0</c:v>
                </c:pt>
                <c:pt idx="4">
                  <c:v>1.050420168067227E-4</c:v>
                </c:pt>
                <c:pt idx="5">
                  <c:v>1E-4</c:v>
                </c:pt>
                <c:pt idx="6">
                  <c:v>0</c:v>
                </c:pt>
                <c:pt idx="7">
                  <c:v>1.0489877268435959E-4</c:v>
                </c:pt>
                <c:pt idx="8">
                  <c:v>8.9999999999999998E-4</c:v>
                </c:pt>
                <c:pt idx="9">
                  <c:v>5.4000000000000003E-3</c:v>
                </c:pt>
                <c:pt idx="10">
                  <c:v>5.1299999999999998E-2</c:v>
                </c:pt>
                <c:pt idx="11">
                  <c:v>0.34060000000000001</c:v>
                </c:pt>
                <c:pt idx="12">
                  <c:v>0.91449999999999998</c:v>
                </c:pt>
                <c:pt idx="13">
                  <c:v>0.99970000000000003</c:v>
                </c:pt>
                <c:pt idx="14">
                  <c:v>1</c:v>
                </c:pt>
                <c:pt idx="15">
                  <c:v>1.0483279169724289E-4</c:v>
                </c:pt>
                <c:pt idx="16">
                  <c:v>0</c:v>
                </c:pt>
                <c:pt idx="17">
                  <c:v>1.0474494605635278E-4</c:v>
                </c:pt>
                <c:pt idx="18">
                  <c:v>3.0999999999999999E-3</c:v>
                </c:pt>
                <c:pt idx="19">
                  <c:v>3.0599999999999999E-2</c:v>
                </c:pt>
                <c:pt idx="20">
                  <c:v>0.2069</c:v>
                </c:pt>
                <c:pt idx="21">
                  <c:v>0.74929999999999997</c:v>
                </c:pt>
                <c:pt idx="22">
                  <c:v>0.99619999999999997</c:v>
                </c:pt>
                <c:pt idx="23">
                  <c:v>1</c:v>
                </c:pt>
                <c:pt idx="24">
                  <c:v>1.0471204188481675E-4</c:v>
                </c:pt>
                <c:pt idx="25">
                  <c:v>0</c:v>
                </c:pt>
                <c:pt idx="26">
                  <c:v>1.0485477613505295E-4</c:v>
                </c:pt>
                <c:pt idx="27">
                  <c:v>3.5999999999999999E-3</c:v>
                </c:pt>
                <c:pt idx="28">
                  <c:v>3.9399999999999998E-2</c:v>
                </c:pt>
                <c:pt idx="29">
                  <c:v>0.2477</c:v>
                </c:pt>
                <c:pt idx="30">
                  <c:v>0.7016</c:v>
                </c:pt>
                <c:pt idx="31">
                  <c:v>0.9647</c:v>
                </c:pt>
                <c:pt idx="32">
                  <c:v>0.99980000000000002</c:v>
                </c:pt>
                <c:pt idx="33">
                  <c:v>1</c:v>
                </c:pt>
                <c:pt idx="34">
                  <c:v>1.0460251046025104E-4</c:v>
                </c:pt>
                <c:pt idx="35">
                  <c:v>7.1000000000000004E-3</c:v>
                </c:pt>
                <c:pt idx="36">
                  <c:v>4.19E-2</c:v>
                </c:pt>
                <c:pt idx="37">
                  <c:v>0.27460000000000001</c:v>
                </c:pt>
                <c:pt idx="38">
                  <c:v>0.81599999999999995</c:v>
                </c:pt>
                <c:pt idx="39">
                  <c:v>0.99739999999999995</c:v>
                </c:pt>
                <c:pt idx="40">
                  <c:v>1</c:v>
                </c:pt>
                <c:pt idx="41">
                  <c:v>1.0510826150935464E-4</c:v>
                </c:pt>
                <c:pt idx="4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FB-4683-AD7A-601F8D891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8643056"/>
        <c:axId val="156888432"/>
      </c:scatterChart>
      <c:valAx>
        <c:axId val="163864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88432"/>
        <c:crosses val="autoZero"/>
        <c:crossBetween val="midCat"/>
      </c:valAx>
      <c:valAx>
        <c:axId val="1568884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8643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10</xdr:row>
      <xdr:rowOff>0</xdr:rowOff>
    </xdr:from>
    <xdr:to>
      <xdr:col>16</xdr:col>
      <xdr:colOff>304800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341F1A-F7E1-4EB5-827E-937AAD3876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396240</xdr:colOff>
      <xdr:row>6</xdr:row>
      <xdr:rowOff>41910</xdr:rowOff>
    </xdr:from>
    <xdr:to>
      <xdr:col>31</xdr:col>
      <xdr:colOff>91440</xdr:colOff>
      <xdr:row>21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92DC1F-F4E0-9170-F70A-0634CC6C9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46319-1019-4923-A076-091C3437D16B}">
  <dimension ref="A1:AI815"/>
  <sheetViews>
    <sheetView tabSelected="1" topLeftCell="H70" workbookViewId="0">
      <selection activeCell="N70" sqref="N70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2" x14ac:dyDescent="0.3">
      <c r="A2">
        <v>1</v>
      </c>
      <c r="B2">
        <v>0</v>
      </c>
      <c r="C2">
        <v>935</v>
      </c>
      <c r="D2">
        <v>211</v>
      </c>
      <c r="E2">
        <v>0</v>
      </c>
      <c r="F2">
        <v>0</v>
      </c>
      <c r="G2">
        <v>0</v>
      </c>
      <c r="H2">
        <v>1</v>
      </c>
      <c r="I2">
        <v>1</v>
      </c>
      <c r="J2">
        <v>0</v>
      </c>
      <c r="K2">
        <v>0</v>
      </c>
      <c r="L2">
        <v>23</v>
      </c>
      <c r="M2">
        <v>6092</v>
      </c>
      <c r="N2">
        <v>0</v>
      </c>
      <c r="O2">
        <v>0</v>
      </c>
      <c r="P2">
        <v>0</v>
      </c>
      <c r="Q2">
        <v>100.9</v>
      </c>
      <c r="R2">
        <v>0</v>
      </c>
      <c r="S2" t="s">
        <v>19</v>
      </c>
      <c r="T2" t="s">
        <v>20</v>
      </c>
      <c r="V2" t="s">
        <v>19</v>
      </c>
    </row>
    <row r="3" spans="1:22" x14ac:dyDescent="0.3">
      <c r="A3">
        <v>1</v>
      </c>
      <c r="B3">
        <v>48</v>
      </c>
      <c r="C3">
        <v>433</v>
      </c>
      <c r="D3">
        <v>450</v>
      </c>
      <c r="E3">
        <v>620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19</v>
      </c>
      <c r="T3" t="s">
        <v>19</v>
      </c>
      <c r="V3" t="s">
        <v>19</v>
      </c>
    </row>
    <row r="4" spans="1:22" x14ac:dyDescent="0.3">
      <c r="A4">
        <v>2</v>
      </c>
      <c r="B4">
        <v>0</v>
      </c>
      <c r="C4">
        <v>933</v>
      </c>
      <c r="D4">
        <v>236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">
        <v>19</v>
      </c>
      <c r="T4" t="s">
        <v>19</v>
      </c>
      <c r="V4" t="s">
        <v>19</v>
      </c>
    </row>
    <row r="5" spans="1:22" x14ac:dyDescent="0.3">
      <c r="A5">
        <v>3</v>
      </c>
      <c r="B5">
        <v>0</v>
      </c>
      <c r="C5">
        <v>925</v>
      </c>
      <c r="D5">
        <v>224</v>
      </c>
      <c r="E5">
        <v>0</v>
      </c>
      <c r="F5">
        <v>0</v>
      </c>
      <c r="G5">
        <v>0</v>
      </c>
      <c r="H5">
        <v>1</v>
      </c>
      <c r="I5">
        <v>1</v>
      </c>
      <c r="J5">
        <v>0</v>
      </c>
      <c r="K5">
        <v>0</v>
      </c>
      <c r="L5">
        <v>23</v>
      </c>
      <c r="M5">
        <v>6092</v>
      </c>
      <c r="N5">
        <v>0</v>
      </c>
      <c r="O5">
        <v>0</v>
      </c>
      <c r="P5">
        <v>0</v>
      </c>
      <c r="Q5">
        <v>100.9</v>
      </c>
      <c r="R5">
        <v>0</v>
      </c>
      <c r="S5" t="s">
        <v>19</v>
      </c>
      <c r="T5" t="s">
        <v>20</v>
      </c>
      <c r="V5" t="s">
        <v>19</v>
      </c>
    </row>
    <row r="6" spans="1:22" x14ac:dyDescent="0.3">
      <c r="A6">
        <v>3</v>
      </c>
      <c r="B6">
        <v>8</v>
      </c>
      <c r="C6">
        <v>606</v>
      </c>
      <c r="D6">
        <v>177</v>
      </c>
      <c r="E6">
        <v>102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19</v>
      </c>
      <c r="T6" t="s">
        <v>19</v>
      </c>
      <c r="V6" t="s">
        <v>19</v>
      </c>
    </row>
    <row r="7" spans="1:22" x14ac:dyDescent="0.3">
      <c r="A7">
        <v>4</v>
      </c>
      <c r="B7">
        <v>0</v>
      </c>
      <c r="C7">
        <v>930</v>
      </c>
      <c r="D7">
        <v>231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23</v>
      </c>
      <c r="M7">
        <v>6092</v>
      </c>
      <c r="N7">
        <v>0</v>
      </c>
      <c r="O7">
        <v>0</v>
      </c>
      <c r="P7">
        <v>0</v>
      </c>
      <c r="Q7">
        <v>100.9</v>
      </c>
      <c r="R7">
        <v>0</v>
      </c>
      <c r="S7" t="s">
        <v>19</v>
      </c>
      <c r="T7" t="s">
        <v>20</v>
      </c>
      <c r="V7" t="s">
        <v>19</v>
      </c>
    </row>
    <row r="8" spans="1:22" x14ac:dyDescent="0.3">
      <c r="A8">
        <v>4</v>
      </c>
      <c r="B8">
        <v>81</v>
      </c>
      <c r="C8">
        <v>346</v>
      </c>
      <c r="D8">
        <v>536</v>
      </c>
      <c r="E8">
        <v>933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s">
        <v>19</v>
      </c>
      <c r="T8" t="s">
        <v>19</v>
      </c>
      <c r="V8" t="s">
        <v>19</v>
      </c>
    </row>
    <row r="9" spans="1:22" x14ac:dyDescent="0.3">
      <c r="A9">
        <v>5</v>
      </c>
      <c r="B9">
        <v>0</v>
      </c>
      <c r="C9">
        <v>925</v>
      </c>
      <c r="D9">
        <v>225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0</v>
      </c>
      <c r="L9">
        <v>23</v>
      </c>
      <c r="M9">
        <v>6092</v>
      </c>
      <c r="N9">
        <v>0</v>
      </c>
      <c r="O9">
        <v>0</v>
      </c>
      <c r="P9">
        <v>0</v>
      </c>
      <c r="Q9">
        <v>100.9</v>
      </c>
      <c r="R9">
        <v>0</v>
      </c>
      <c r="S9" t="s">
        <v>19</v>
      </c>
      <c r="T9" t="s">
        <v>20</v>
      </c>
      <c r="V9" t="s">
        <v>19</v>
      </c>
    </row>
    <row r="10" spans="1:22" x14ac:dyDescent="0.3">
      <c r="A10">
        <v>5</v>
      </c>
      <c r="B10">
        <v>5</v>
      </c>
      <c r="C10">
        <v>739</v>
      </c>
      <c r="D10">
        <v>137</v>
      </c>
      <c r="E10">
        <v>83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19</v>
      </c>
      <c r="T10" t="s">
        <v>19</v>
      </c>
      <c r="V10" t="s">
        <v>19</v>
      </c>
    </row>
    <row r="11" spans="1:22" x14ac:dyDescent="0.3">
      <c r="A11">
        <v>6</v>
      </c>
      <c r="B11">
        <v>0</v>
      </c>
      <c r="C11">
        <v>929</v>
      </c>
      <c r="D11">
        <v>227</v>
      </c>
      <c r="E11">
        <v>0</v>
      </c>
      <c r="F11">
        <v>0</v>
      </c>
      <c r="G11">
        <v>0</v>
      </c>
      <c r="H11">
        <v>1</v>
      </c>
      <c r="I11">
        <v>1</v>
      </c>
      <c r="J11">
        <v>0</v>
      </c>
      <c r="K11">
        <v>0</v>
      </c>
      <c r="L11">
        <v>23</v>
      </c>
      <c r="M11">
        <v>6092</v>
      </c>
      <c r="N11">
        <v>0</v>
      </c>
      <c r="O11">
        <v>0</v>
      </c>
      <c r="P11">
        <v>0</v>
      </c>
      <c r="Q11">
        <v>100.9</v>
      </c>
      <c r="R11">
        <v>0</v>
      </c>
      <c r="S11" t="s">
        <v>19</v>
      </c>
      <c r="T11" t="s">
        <v>20</v>
      </c>
      <c r="V11" t="s">
        <v>19</v>
      </c>
    </row>
    <row r="12" spans="1:22" x14ac:dyDescent="0.3">
      <c r="A12">
        <v>6</v>
      </c>
      <c r="B12">
        <v>100</v>
      </c>
      <c r="C12">
        <v>406</v>
      </c>
      <c r="D12">
        <v>677</v>
      </c>
      <c r="E12">
        <v>1264</v>
      </c>
      <c r="F12">
        <v>0</v>
      </c>
      <c r="G12">
        <v>0</v>
      </c>
      <c r="H12">
        <v>9</v>
      </c>
      <c r="I12">
        <v>9</v>
      </c>
      <c r="J12">
        <v>0</v>
      </c>
      <c r="K12">
        <v>0</v>
      </c>
      <c r="L12">
        <v>92</v>
      </c>
      <c r="M12">
        <v>12558</v>
      </c>
      <c r="N12">
        <v>724</v>
      </c>
      <c r="O12">
        <v>0</v>
      </c>
      <c r="P12">
        <v>0</v>
      </c>
      <c r="Q12">
        <v>97.7</v>
      </c>
      <c r="R12">
        <v>0</v>
      </c>
      <c r="S12" t="s">
        <v>21</v>
      </c>
      <c r="T12" t="s">
        <v>22</v>
      </c>
      <c r="V12" t="s">
        <v>23</v>
      </c>
    </row>
    <row r="13" spans="1:22" x14ac:dyDescent="0.3">
      <c r="A13">
        <v>6</v>
      </c>
      <c r="B13">
        <v>200</v>
      </c>
      <c r="C13">
        <v>383</v>
      </c>
      <c r="D13">
        <v>442</v>
      </c>
      <c r="E13">
        <v>1190</v>
      </c>
      <c r="F13">
        <v>0</v>
      </c>
      <c r="G13">
        <v>0</v>
      </c>
      <c r="H13">
        <v>2</v>
      </c>
      <c r="I13">
        <v>2</v>
      </c>
      <c r="J13">
        <v>0</v>
      </c>
      <c r="K13">
        <v>0</v>
      </c>
      <c r="L13">
        <v>17</v>
      </c>
      <c r="M13">
        <v>2215</v>
      </c>
      <c r="N13">
        <v>174</v>
      </c>
      <c r="O13">
        <v>0</v>
      </c>
      <c r="P13">
        <v>0</v>
      </c>
      <c r="Q13">
        <v>44.5</v>
      </c>
      <c r="R13">
        <v>0</v>
      </c>
      <c r="S13" t="s">
        <v>24</v>
      </c>
      <c r="T13" t="s">
        <v>25</v>
      </c>
      <c r="V13" t="s">
        <v>26</v>
      </c>
    </row>
    <row r="14" spans="1:22" x14ac:dyDescent="0.3">
      <c r="A14">
        <v>6</v>
      </c>
      <c r="B14">
        <v>229</v>
      </c>
      <c r="C14">
        <v>438</v>
      </c>
      <c r="D14">
        <v>125</v>
      </c>
      <c r="E14">
        <v>401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19</v>
      </c>
      <c r="T14" t="s">
        <v>19</v>
      </c>
      <c r="V14" t="s">
        <v>19</v>
      </c>
    </row>
    <row r="15" spans="1:22" x14ac:dyDescent="0.3">
      <c r="A15">
        <v>7</v>
      </c>
      <c r="B15">
        <v>0</v>
      </c>
      <c r="C15">
        <v>932</v>
      </c>
      <c r="D15">
        <v>236</v>
      </c>
      <c r="E15">
        <v>0</v>
      </c>
      <c r="F15">
        <v>0</v>
      </c>
      <c r="G15">
        <v>0</v>
      </c>
      <c r="H15">
        <v>1</v>
      </c>
      <c r="I15">
        <v>1</v>
      </c>
      <c r="J15">
        <v>0</v>
      </c>
      <c r="K15">
        <v>0</v>
      </c>
      <c r="L15">
        <v>23</v>
      </c>
      <c r="M15">
        <v>6092</v>
      </c>
      <c r="N15">
        <v>0</v>
      </c>
      <c r="O15">
        <v>0</v>
      </c>
      <c r="P15">
        <v>0</v>
      </c>
      <c r="Q15">
        <v>100.9</v>
      </c>
      <c r="R15">
        <v>0</v>
      </c>
      <c r="S15" t="s">
        <v>19</v>
      </c>
      <c r="T15" t="s">
        <v>20</v>
      </c>
      <c r="V15" t="s">
        <v>19</v>
      </c>
    </row>
    <row r="16" spans="1:22" x14ac:dyDescent="0.3">
      <c r="A16">
        <v>7</v>
      </c>
      <c r="B16">
        <v>10</v>
      </c>
      <c r="C16">
        <v>587</v>
      </c>
      <c r="D16">
        <v>212</v>
      </c>
      <c r="E16">
        <v>133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19</v>
      </c>
      <c r="T16" t="s">
        <v>19</v>
      </c>
      <c r="V16" t="s">
        <v>19</v>
      </c>
    </row>
    <row r="17" spans="1:22" x14ac:dyDescent="0.3">
      <c r="A17">
        <v>8</v>
      </c>
      <c r="B17">
        <v>0</v>
      </c>
      <c r="C17">
        <v>923</v>
      </c>
      <c r="D17">
        <v>233</v>
      </c>
      <c r="E17">
        <v>0</v>
      </c>
      <c r="F17">
        <v>0</v>
      </c>
      <c r="G17">
        <v>0</v>
      </c>
      <c r="H17">
        <v>1</v>
      </c>
      <c r="I17">
        <v>1</v>
      </c>
      <c r="J17">
        <v>0</v>
      </c>
      <c r="K17">
        <v>0</v>
      </c>
      <c r="L17">
        <v>23</v>
      </c>
      <c r="M17">
        <v>6092</v>
      </c>
      <c r="N17">
        <v>0</v>
      </c>
      <c r="O17">
        <v>0</v>
      </c>
      <c r="P17">
        <v>0</v>
      </c>
      <c r="Q17">
        <v>100.9</v>
      </c>
      <c r="R17">
        <v>0</v>
      </c>
      <c r="S17" t="s">
        <v>19</v>
      </c>
      <c r="T17" t="s">
        <v>20</v>
      </c>
      <c r="V17" t="s">
        <v>19</v>
      </c>
    </row>
    <row r="18" spans="1:22" x14ac:dyDescent="0.3">
      <c r="A18">
        <v>8</v>
      </c>
      <c r="B18">
        <v>64</v>
      </c>
      <c r="C18">
        <v>313</v>
      </c>
      <c r="D18">
        <v>453</v>
      </c>
      <c r="E18">
        <v>593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19</v>
      </c>
      <c r="T18" t="s">
        <v>19</v>
      </c>
      <c r="V18" t="s">
        <v>19</v>
      </c>
    </row>
    <row r="19" spans="1:22" x14ac:dyDescent="0.3">
      <c r="A19">
        <v>9</v>
      </c>
      <c r="B19">
        <v>0</v>
      </c>
      <c r="C19">
        <v>924</v>
      </c>
      <c r="D19">
        <v>220</v>
      </c>
      <c r="E19">
        <v>0</v>
      </c>
      <c r="F19">
        <v>0</v>
      </c>
      <c r="G19">
        <v>0</v>
      </c>
      <c r="H19">
        <v>1</v>
      </c>
      <c r="I19">
        <v>1</v>
      </c>
      <c r="J19">
        <v>0</v>
      </c>
      <c r="K19">
        <v>0</v>
      </c>
      <c r="L19">
        <v>23</v>
      </c>
      <c r="M19">
        <v>6092</v>
      </c>
      <c r="N19">
        <v>0</v>
      </c>
      <c r="O19">
        <v>0</v>
      </c>
      <c r="P19">
        <v>0</v>
      </c>
      <c r="Q19">
        <v>100.9</v>
      </c>
      <c r="R19">
        <v>0</v>
      </c>
      <c r="S19" t="s">
        <v>19</v>
      </c>
      <c r="T19" t="s">
        <v>20</v>
      </c>
      <c r="V19" t="s">
        <v>19</v>
      </c>
    </row>
    <row r="20" spans="1:22" x14ac:dyDescent="0.3">
      <c r="A20">
        <v>9</v>
      </c>
      <c r="B20">
        <v>7</v>
      </c>
      <c r="C20">
        <v>601</v>
      </c>
      <c r="D20">
        <v>178</v>
      </c>
      <c r="E20">
        <v>88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19</v>
      </c>
      <c r="T20" t="s">
        <v>19</v>
      </c>
      <c r="V20" t="s">
        <v>19</v>
      </c>
    </row>
    <row r="21" spans="1:22" x14ac:dyDescent="0.3">
      <c r="A21">
        <v>10</v>
      </c>
      <c r="B21">
        <v>0</v>
      </c>
      <c r="C21">
        <v>915</v>
      </c>
      <c r="D21">
        <v>237</v>
      </c>
      <c r="E21">
        <v>0</v>
      </c>
      <c r="F21">
        <v>0</v>
      </c>
      <c r="G21">
        <v>0</v>
      </c>
      <c r="H21">
        <v>1</v>
      </c>
      <c r="I21">
        <v>1</v>
      </c>
      <c r="J21">
        <v>0</v>
      </c>
      <c r="K21">
        <v>0</v>
      </c>
      <c r="L21">
        <v>23</v>
      </c>
      <c r="M21">
        <v>6092</v>
      </c>
      <c r="N21">
        <v>0</v>
      </c>
      <c r="O21">
        <v>0</v>
      </c>
      <c r="P21">
        <v>0</v>
      </c>
      <c r="Q21">
        <v>100.9</v>
      </c>
      <c r="R21">
        <v>0</v>
      </c>
      <c r="S21" t="s">
        <v>19</v>
      </c>
      <c r="T21" t="s">
        <v>20</v>
      </c>
      <c r="V21" t="s">
        <v>19</v>
      </c>
    </row>
    <row r="22" spans="1:22" x14ac:dyDescent="0.3">
      <c r="A22">
        <v>10</v>
      </c>
      <c r="B22">
        <v>100</v>
      </c>
      <c r="C22">
        <v>308</v>
      </c>
      <c r="D22">
        <v>572</v>
      </c>
      <c r="E22">
        <v>996</v>
      </c>
      <c r="F22">
        <v>0</v>
      </c>
      <c r="G22">
        <v>0</v>
      </c>
      <c r="H22">
        <v>16</v>
      </c>
      <c r="I22">
        <v>16</v>
      </c>
      <c r="J22">
        <v>3</v>
      </c>
      <c r="K22">
        <v>0</v>
      </c>
      <c r="L22">
        <v>201</v>
      </c>
      <c r="M22">
        <v>26781</v>
      </c>
      <c r="N22">
        <v>1388</v>
      </c>
      <c r="O22">
        <v>0</v>
      </c>
      <c r="P22">
        <v>0</v>
      </c>
      <c r="Q22">
        <v>96</v>
      </c>
      <c r="R22">
        <v>0</v>
      </c>
      <c r="S22" t="s">
        <v>27</v>
      </c>
      <c r="T22" t="s">
        <v>28</v>
      </c>
      <c r="V22" t="s">
        <v>29</v>
      </c>
    </row>
    <row r="23" spans="1:22" x14ac:dyDescent="0.3">
      <c r="A23">
        <v>10</v>
      </c>
      <c r="B23">
        <v>200</v>
      </c>
      <c r="C23">
        <v>145</v>
      </c>
      <c r="D23">
        <v>218</v>
      </c>
      <c r="E23">
        <v>564</v>
      </c>
      <c r="F23">
        <v>0</v>
      </c>
      <c r="G23">
        <v>0</v>
      </c>
      <c r="H23">
        <v>33</v>
      </c>
      <c r="I23">
        <v>33</v>
      </c>
      <c r="J23">
        <v>4</v>
      </c>
      <c r="K23">
        <v>0</v>
      </c>
      <c r="L23">
        <v>166</v>
      </c>
      <c r="M23">
        <v>23413</v>
      </c>
      <c r="N23">
        <v>2058</v>
      </c>
      <c r="O23">
        <v>0</v>
      </c>
      <c r="P23">
        <v>0</v>
      </c>
      <c r="Q23">
        <v>70.8</v>
      </c>
      <c r="R23">
        <v>0</v>
      </c>
      <c r="S23" t="s">
        <v>30</v>
      </c>
      <c r="T23" t="s">
        <v>31</v>
      </c>
      <c r="V23" t="s">
        <v>32</v>
      </c>
    </row>
    <row r="24" spans="1:22" x14ac:dyDescent="0.3">
      <c r="A24">
        <v>10</v>
      </c>
      <c r="B24">
        <v>300</v>
      </c>
      <c r="C24">
        <v>67</v>
      </c>
      <c r="D24">
        <v>104</v>
      </c>
      <c r="E24">
        <v>240</v>
      </c>
      <c r="F24">
        <v>0</v>
      </c>
      <c r="G24">
        <v>0</v>
      </c>
      <c r="H24">
        <v>31</v>
      </c>
      <c r="I24">
        <v>31</v>
      </c>
      <c r="J24">
        <v>1</v>
      </c>
      <c r="K24">
        <v>0</v>
      </c>
      <c r="L24">
        <v>134</v>
      </c>
      <c r="M24">
        <v>14665</v>
      </c>
      <c r="N24">
        <v>1677</v>
      </c>
      <c r="O24">
        <v>0</v>
      </c>
      <c r="P24">
        <v>0</v>
      </c>
      <c r="Q24">
        <v>61.8</v>
      </c>
      <c r="R24">
        <v>0</v>
      </c>
      <c r="S24" t="s">
        <v>33</v>
      </c>
      <c r="T24" t="s">
        <v>34</v>
      </c>
      <c r="V24" t="s">
        <v>35</v>
      </c>
    </row>
    <row r="25" spans="1:22" x14ac:dyDescent="0.3">
      <c r="A25">
        <v>10</v>
      </c>
      <c r="B25">
        <v>400</v>
      </c>
      <c r="C25">
        <v>10</v>
      </c>
      <c r="D25">
        <v>30</v>
      </c>
      <c r="E25">
        <v>49</v>
      </c>
      <c r="F25">
        <v>0</v>
      </c>
      <c r="G25">
        <v>0</v>
      </c>
      <c r="H25">
        <v>4</v>
      </c>
      <c r="I25">
        <v>4</v>
      </c>
      <c r="J25">
        <v>0</v>
      </c>
      <c r="K25">
        <v>0</v>
      </c>
      <c r="L25">
        <v>23</v>
      </c>
      <c r="M25">
        <v>1883</v>
      </c>
      <c r="N25">
        <v>244</v>
      </c>
      <c r="O25">
        <v>0</v>
      </c>
      <c r="P25">
        <v>0</v>
      </c>
      <c r="Q25">
        <v>16.8</v>
      </c>
      <c r="R25">
        <v>0</v>
      </c>
      <c r="S25" t="s">
        <v>36</v>
      </c>
      <c r="T25" t="s">
        <v>37</v>
      </c>
      <c r="V25" t="s">
        <v>38</v>
      </c>
    </row>
    <row r="26" spans="1:22" x14ac:dyDescent="0.3">
      <c r="A26">
        <v>10</v>
      </c>
      <c r="B26">
        <v>417</v>
      </c>
      <c r="C26">
        <v>3</v>
      </c>
      <c r="D26">
        <v>0</v>
      </c>
      <c r="E26">
        <v>0</v>
      </c>
      <c r="F26">
        <v>0</v>
      </c>
      <c r="G26">
        <v>0</v>
      </c>
      <c r="H26">
        <v>3</v>
      </c>
      <c r="I26">
        <v>3</v>
      </c>
      <c r="J26">
        <v>0</v>
      </c>
      <c r="K26">
        <v>0</v>
      </c>
      <c r="L26">
        <v>14</v>
      </c>
      <c r="M26">
        <v>1151</v>
      </c>
      <c r="N26">
        <v>146</v>
      </c>
      <c r="O26">
        <v>0</v>
      </c>
      <c r="P26">
        <v>0</v>
      </c>
      <c r="Q26">
        <v>16</v>
      </c>
      <c r="R26">
        <v>0</v>
      </c>
      <c r="S26" t="s">
        <v>39</v>
      </c>
      <c r="T26" t="s">
        <v>19</v>
      </c>
      <c r="V26" t="s">
        <v>40</v>
      </c>
    </row>
    <row r="27" spans="1:22" x14ac:dyDescent="0.3">
      <c r="A27">
        <v>1</v>
      </c>
      <c r="B27">
        <v>17</v>
      </c>
      <c r="C27">
        <v>864</v>
      </c>
      <c r="D27">
        <v>257</v>
      </c>
      <c r="E27">
        <v>615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19</v>
      </c>
      <c r="T27" t="s">
        <v>19</v>
      </c>
      <c r="V27" t="s">
        <v>19</v>
      </c>
    </row>
    <row r="28" spans="1:22" x14ac:dyDescent="0.3">
      <c r="A28">
        <v>2</v>
      </c>
      <c r="B28">
        <v>0</v>
      </c>
      <c r="C28">
        <v>958</v>
      </c>
      <c r="D28">
        <v>408</v>
      </c>
      <c r="E28">
        <v>0</v>
      </c>
      <c r="F28">
        <v>0</v>
      </c>
      <c r="G28">
        <v>0</v>
      </c>
      <c r="H28">
        <v>1</v>
      </c>
      <c r="I28">
        <v>1</v>
      </c>
      <c r="J28">
        <v>0</v>
      </c>
      <c r="K28">
        <v>0</v>
      </c>
      <c r="L28">
        <v>23</v>
      </c>
      <c r="M28">
        <v>6092</v>
      </c>
      <c r="N28">
        <v>0</v>
      </c>
      <c r="O28">
        <v>0</v>
      </c>
      <c r="P28">
        <v>0</v>
      </c>
      <c r="Q28">
        <v>100.9</v>
      </c>
      <c r="R28">
        <v>0</v>
      </c>
      <c r="S28" t="s">
        <v>19</v>
      </c>
      <c r="T28" t="s">
        <v>20</v>
      </c>
      <c r="V28" t="s">
        <v>19</v>
      </c>
    </row>
    <row r="29" spans="1:22" x14ac:dyDescent="0.3">
      <c r="A29">
        <v>2</v>
      </c>
      <c r="B29">
        <v>100</v>
      </c>
      <c r="C29">
        <v>1000</v>
      </c>
      <c r="D29">
        <v>1495</v>
      </c>
      <c r="E29">
        <v>4043</v>
      </c>
      <c r="F29">
        <v>0</v>
      </c>
      <c r="G29">
        <v>686</v>
      </c>
      <c r="H29">
        <v>16</v>
      </c>
      <c r="I29">
        <v>16</v>
      </c>
      <c r="J29">
        <v>0</v>
      </c>
      <c r="K29">
        <v>0</v>
      </c>
      <c r="L29">
        <v>113</v>
      </c>
      <c r="M29">
        <v>16221</v>
      </c>
      <c r="N29">
        <v>698</v>
      </c>
      <c r="O29">
        <v>0</v>
      </c>
      <c r="P29">
        <v>0</v>
      </c>
      <c r="Q29">
        <v>100.9</v>
      </c>
      <c r="R29">
        <v>0</v>
      </c>
      <c r="S29" t="s">
        <v>41</v>
      </c>
      <c r="T29" t="s">
        <v>19</v>
      </c>
      <c r="V29" t="s">
        <v>42</v>
      </c>
    </row>
    <row r="30" spans="1:22" x14ac:dyDescent="0.3">
      <c r="A30">
        <v>2</v>
      </c>
      <c r="B30">
        <v>200</v>
      </c>
      <c r="C30">
        <v>1000</v>
      </c>
      <c r="D30">
        <v>1681</v>
      </c>
      <c r="E30">
        <v>4837</v>
      </c>
      <c r="F30">
        <v>0</v>
      </c>
      <c r="G30">
        <v>1598</v>
      </c>
      <c r="H30">
        <v>89</v>
      </c>
      <c r="I30">
        <v>89</v>
      </c>
      <c r="J30">
        <v>0</v>
      </c>
      <c r="K30">
        <v>0</v>
      </c>
      <c r="L30">
        <v>58</v>
      </c>
      <c r="M30">
        <v>13842</v>
      </c>
      <c r="N30">
        <v>1316</v>
      </c>
      <c r="O30">
        <v>0</v>
      </c>
      <c r="P30">
        <v>0</v>
      </c>
      <c r="Q30">
        <v>69</v>
      </c>
      <c r="R30">
        <v>0</v>
      </c>
      <c r="S30" t="s">
        <v>43</v>
      </c>
      <c r="T30" t="s">
        <v>44</v>
      </c>
      <c r="V30" t="s">
        <v>45</v>
      </c>
    </row>
    <row r="31" spans="1:22" x14ac:dyDescent="0.3">
      <c r="A31">
        <v>2</v>
      </c>
      <c r="B31">
        <v>300</v>
      </c>
      <c r="C31">
        <v>1000</v>
      </c>
      <c r="D31">
        <v>1760</v>
      </c>
      <c r="E31">
        <v>4942</v>
      </c>
      <c r="F31">
        <v>0</v>
      </c>
      <c r="G31">
        <v>1813</v>
      </c>
      <c r="H31">
        <v>251</v>
      </c>
      <c r="I31">
        <v>274</v>
      </c>
      <c r="J31">
        <v>0</v>
      </c>
      <c r="K31">
        <v>0</v>
      </c>
      <c r="L31">
        <v>21</v>
      </c>
      <c r="M31">
        <v>9741</v>
      </c>
      <c r="N31">
        <v>1356</v>
      </c>
      <c r="O31">
        <v>0</v>
      </c>
      <c r="P31">
        <v>0</v>
      </c>
      <c r="Q31">
        <v>40.700000000000003</v>
      </c>
      <c r="R31">
        <v>0</v>
      </c>
      <c r="S31" t="s">
        <v>46</v>
      </c>
      <c r="T31" t="s">
        <v>47</v>
      </c>
      <c r="V31" t="s">
        <v>48</v>
      </c>
    </row>
    <row r="32" spans="1:22" x14ac:dyDescent="0.3">
      <c r="A32">
        <v>2</v>
      </c>
      <c r="B32">
        <v>400</v>
      </c>
      <c r="C32">
        <v>1000</v>
      </c>
      <c r="D32">
        <v>1718</v>
      </c>
      <c r="E32">
        <v>4810</v>
      </c>
      <c r="F32">
        <v>0</v>
      </c>
      <c r="G32">
        <v>1660</v>
      </c>
      <c r="H32">
        <v>357</v>
      </c>
      <c r="I32">
        <v>623</v>
      </c>
      <c r="J32">
        <v>0</v>
      </c>
      <c r="K32">
        <v>0</v>
      </c>
      <c r="L32">
        <v>28</v>
      </c>
      <c r="M32">
        <v>10719</v>
      </c>
      <c r="N32">
        <v>1977</v>
      </c>
      <c r="O32">
        <v>0</v>
      </c>
      <c r="P32">
        <v>0</v>
      </c>
      <c r="Q32">
        <v>28.2</v>
      </c>
      <c r="R32">
        <v>0</v>
      </c>
      <c r="S32" t="s">
        <v>49</v>
      </c>
      <c r="T32" t="s">
        <v>50</v>
      </c>
      <c r="V32" t="s">
        <v>51</v>
      </c>
    </row>
    <row r="33" spans="1:22" x14ac:dyDescent="0.3">
      <c r="A33">
        <v>2</v>
      </c>
      <c r="B33">
        <v>500</v>
      </c>
      <c r="C33">
        <v>1000</v>
      </c>
      <c r="D33">
        <v>1740</v>
      </c>
      <c r="E33">
        <v>4783</v>
      </c>
      <c r="F33">
        <v>0</v>
      </c>
      <c r="G33">
        <v>1579</v>
      </c>
      <c r="H33">
        <v>417</v>
      </c>
      <c r="I33">
        <v>983</v>
      </c>
      <c r="J33">
        <v>0</v>
      </c>
      <c r="K33">
        <v>0</v>
      </c>
      <c r="L33">
        <v>27</v>
      </c>
      <c r="M33">
        <v>10097</v>
      </c>
      <c r="N33">
        <v>2213</v>
      </c>
      <c r="O33">
        <v>0</v>
      </c>
      <c r="P33">
        <v>0</v>
      </c>
      <c r="Q33">
        <v>24.1</v>
      </c>
      <c r="R33">
        <v>0</v>
      </c>
      <c r="S33" t="s">
        <v>52</v>
      </c>
      <c r="T33" t="s">
        <v>53</v>
      </c>
      <c r="V33" t="s">
        <v>54</v>
      </c>
    </row>
    <row r="34" spans="1:22" x14ac:dyDescent="0.3">
      <c r="A34">
        <v>2</v>
      </c>
      <c r="B34">
        <v>547</v>
      </c>
      <c r="C34">
        <v>1000</v>
      </c>
      <c r="D34">
        <v>828</v>
      </c>
      <c r="E34">
        <v>2306</v>
      </c>
      <c r="F34">
        <v>0</v>
      </c>
      <c r="G34">
        <v>786</v>
      </c>
      <c r="H34">
        <v>440</v>
      </c>
      <c r="I34">
        <v>1000</v>
      </c>
      <c r="J34">
        <v>0</v>
      </c>
      <c r="K34">
        <v>0</v>
      </c>
      <c r="L34">
        <v>39</v>
      </c>
      <c r="M34">
        <v>8851</v>
      </c>
      <c r="N34">
        <v>2149</v>
      </c>
      <c r="O34">
        <v>0</v>
      </c>
      <c r="P34">
        <v>0</v>
      </c>
      <c r="Q34">
        <v>21.2</v>
      </c>
      <c r="R34">
        <v>0</v>
      </c>
      <c r="S34" t="s">
        <v>55</v>
      </c>
      <c r="T34" t="s">
        <v>56</v>
      </c>
      <c r="V34" t="s">
        <v>57</v>
      </c>
    </row>
    <row r="35" spans="1:22" x14ac:dyDescent="0.3">
      <c r="A35">
        <v>3</v>
      </c>
      <c r="B35">
        <v>0</v>
      </c>
      <c r="C35">
        <v>948</v>
      </c>
      <c r="D35">
        <v>410</v>
      </c>
      <c r="E35">
        <v>0</v>
      </c>
      <c r="F35">
        <v>0</v>
      </c>
      <c r="G35">
        <v>0</v>
      </c>
      <c r="H35">
        <v>1</v>
      </c>
      <c r="I35">
        <v>1</v>
      </c>
      <c r="J35">
        <v>0</v>
      </c>
      <c r="K35">
        <v>0</v>
      </c>
      <c r="L35">
        <v>23</v>
      </c>
      <c r="M35">
        <v>6092</v>
      </c>
      <c r="N35">
        <v>0</v>
      </c>
      <c r="O35">
        <v>0</v>
      </c>
      <c r="P35">
        <v>0</v>
      </c>
      <c r="Q35">
        <v>100.9</v>
      </c>
      <c r="R35">
        <v>0</v>
      </c>
      <c r="S35" t="s">
        <v>19</v>
      </c>
      <c r="T35" t="s">
        <v>20</v>
      </c>
      <c r="V35" t="s">
        <v>19</v>
      </c>
    </row>
    <row r="36" spans="1:22" x14ac:dyDescent="0.3">
      <c r="A36">
        <v>3</v>
      </c>
      <c r="B36">
        <v>18</v>
      </c>
      <c r="C36">
        <v>825</v>
      </c>
      <c r="D36">
        <v>276</v>
      </c>
      <c r="E36">
        <v>566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t="s">
        <v>19</v>
      </c>
      <c r="T36" t="s">
        <v>19</v>
      </c>
      <c r="V36" t="s">
        <v>19</v>
      </c>
    </row>
    <row r="37" spans="1:22" x14ac:dyDescent="0.3">
      <c r="A37">
        <v>4</v>
      </c>
      <c r="B37">
        <v>0</v>
      </c>
      <c r="C37">
        <v>946</v>
      </c>
      <c r="D37">
        <v>400</v>
      </c>
      <c r="E37">
        <v>0</v>
      </c>
      <c r="F37">
        <v>0</v>
      </c>
      <c r="G37">
        <v>0</v>
      </c>
      <c r="H37">
        <v>1</v>
      </c>
      <c r="I37">
        <v>1</v>
      </c>
      <c r="J37">
        <v>0</v>
      </c>
      <c r="K37">
        <v>0</v>
      </c>
      <c r="L37">
        <v>23</v>
      </c>
      <c r="M37">
        <v>6092</v>
      </c>
      <c r="N37">
        <v>0</v>
      </c>
      <c r="O37">
        <v>0</v>
      </c>
      <c r="P37">
        <v>0</v>
      </c>
      <c r="Q37">
        <v>100.9</v>
      </c>
      <c r="R37">
        <v>0</v>
      </c>
      <c r="S37" t="s">
        <v>19</v>
      </c>
      <c r="T37" t="s">
        <v>20</v>
      </c>
      <c r="V37" t="s">
        <v>19</v>
      </c>
    </row>
    <row r="38" spans="1:22" x14ac:dyDescent="0.3">
      <c r="A38">
        <v>4</v>
      </c>
      <c r="B38">
        <v>69</v>
      </c>
      <c r="C38">
        <v>1000</v>
      </c>
      <c r="D38">
        <v>1032</v>
      </c>
      <c r="E38">
        <v>2661</v>
      </c>
      <c r="F38">
        <v>0</v>
      </c>
      <c r="G38">
        <v>233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t="s">
        <v>19</v>
      </c>
      <c r="T38" t="s">
        <v>19</v>
      </c>
      <c r="V38" t="s">
        <v>19</v>
      </c>
    </row>
    <row r="39" spans="1:22" x14ac:dyDescent="0.3">
      <c r="A39">
        <v>5</v>
      </c>
      <c r="B39">
        <v>0</v>
      </c>
      <c r="C39">
        <v>951</v>
      </c>
      <c r="D39">
        <v>407</v>
      </c>
      <c r="E39">
        <v>0</v>
      </c>
      <c r="F39">
        <v>0</v>
      </c>
      <c r="G39">
        <v>0</v>
      </c>
      <c r="H39">
        <v>1</v>
      </c>
      <c r="I39">
        <v>1</v>
      </c>
      <c r="J39">
        <v>0</v>
      </c>
      <c r="K39">
        <v>0</v>
      </c>
      <c r="L39">
        <v>23</v>
      </c>
      <c r="M39">
        <v>6092</v>
      </c>
      <c r="N39">
        <v>0</v>
      </c>
      <c r="O39">
        <v>0</v>
      </c>
      <c r="P39">
        <v>0</v>
      </c>
      <c r="Q39">
        <v>100.9</v>
      </c>
      <c r="R39">
        <v>0</v>
      </c>
      <c r="S39" t="s">
        <v>19</v>
      </c>
      <c r="T39" t="s">
        <v>20</v>
      </c>
      <c r="V39" t="s">
        <v>19</v>
      </c>
    </row>
    <row r="40" spans="1:22" x14ac:dyDescent="0.3">
      <c r="A40">
        <v>5</v>
      </c>
      <c r="B40">
        <v>40</v>
      </c>
      <c r="C40">
        <v>960</v>
      </c>
      <c r="D40">
        <v>562</v>
      </c>
      <c r="E40">
        <v>1377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t="s">
        <v>19</v>
      </c>
      <c r="T40" t="s">
        <v>19</v>
      </c>
      <c r="V40" t="s">
        <v>19</v>
      </c>
    </row>
    <row r="41" spans="1:22" x14ac:dyDescent="0.3">
      <c r="A41">
        <v>6</v>
      </c>
      <c r="B41">
        <v>0</v>
      </c>
      <c r="C41">
        <v>960</v>
      </c>
      <c r="D41">
        <v>407</v>
      </c>
      <c r="E41">
        <v>0</v>
      </c>
      <c r="F41">
        <v>0</v>
      </c>
      <c r="G41">
        <v>0</v>
      </c>
      <c r="H41">
        <v>1</v>
      </c>
      <c r="I41">
        <v>1</v>
      </c>
      <c r="J41">
        <v>0</v>
      </c>
      <c r="K41">
        <v>0</v>
      </c>
      <c r="L41">
        <v>23</v>
      </c>
      <c r="M41">
        <v>6092</v>
      </c>
      <c r="N41">
        <v>0</v>
      </c>
      <c r="O41">
        <v>0</v>
      </c>
      <c r="P41">
        <v>0</v>
      </c>
      <c r="Q41">
        <v>100.9</v>
      </c>
      <c r="R41">
        <v>0</v>
      </c>
      <c r="S41" t="s">
        <v>19</v>
      </c>
      <c r="T41" t="s">
        <v>20</v>
      </c>
      <c r="V41" t="s">
        <v>19</v>
      </c>
    </row>
    <row r="42" spans="1:22" x14ac:dyDescent="0.3">
      <c r="A42">
        <v>6</v>
      </c>
      <c r="B42">
        <v>15</v>
      </c>
      <c r="C42">
        <v>807</v>
      </c>
      <c r="D42">
        <v>252</v>
      </c>
      <c r="E42">
        <v>475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t="s">
        <v>19</v>
      </c>
      <c r="T42" t="s">
        <v>19</v>
      </c>
      <c r="V42" t="s">
        <v>19</v>
      </c>
    </row>
    <row r="43" spans="1:22" x14ac:dyDescent="0.3">
      <c r="A43">
        <v>7</v>
      </c>
      <c r="B43">
        <v>0</v>
      </c>
      <c r="C43">
        <v>949</v>
      </c>
      <c r="D43">
        <v>398</v>
      </c>
      <c r="E43">
        <v>0</v>
      </c>
      <c r="F43">
        <v>0</v>
      </c>
      <c r="G43">
        <v>0</v>
      </c>
      <c r="H43">
        <v>1</v>
      </c>
      <c r="I43">
        <v>1</v>
      </c>
      <c r="J43">
        <v>0</v>
      </c>
      <c r="K43">
        <v>0</v>
      </c>
      <c r="L43">
        <v>23</v>
      </c>
      <c r="M43">
        <v>6092</v>
      </c>
      <c r="N43">
        <v>0</v>
      </c>
      <c r="O43">
        <v>0</v>
      </c>
      <c r="P43">
        <v>0</v>
      </c>
      <c r="Q43">
        <v>100.9</v>
      </c>
      <c r="R43">
        <v>0</v>
      </c>
      <c r="S43" t="s">
        <v>19</v>
      </c>
      <c r="T43" t="s">
        <v>20</v>
      </c>
      <c r="V43" t="s">
        <v>19</v>
      </c>
    </row>
    <row r="44" spans="1:22" x14ac:dyDescent="0.3">
      <c r="A44">
        <v>7</v>
      </c>
      <c r="B44">
        <v>11</v>
      </c>
      <c r="C44">
        <v>851</v>
      </c>
      <c r="D44">
        <v>193</v>
      </c>
      <c r="E44">
        <v>377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s">
        <v>19</v>
      </c>
      <c r="T44" t="s">
        <v>19</v>
      </c>
      <c r="V44" t="s">
        <v>19</v>
      </c>
    </row>
    <row r="45" spans="1:22" x14ac:dyDescent="0.3">
      <c r="A45">
        <v>8</v>
      </c>
      <c r="B45">
        <v>0</v>
      </c>
      <c r="C45">
        <v>953</v>
      </c>
      <c r="D45">
        <v>405</v>
      </c>
      <c r="E45">
        <v>0</v>
      </c>
      <c r="F45">
        <v>0</v>
      </c>
      <c r="G45">
        <v>0</v>
      </c>
      <c r="H45">
        <v>1</v>
      </c>
      <c r="I45">
        <v>1</v>
      </c>
      <c r="J45">
        <v>0</v>
      </c>
      <c r="K45">
        <v>0</v>
      </c>
      <c r="L45">
        <v>23</v>
      </c>
      <c r="M45">
        <v>6092</v>
      </c>
      <c r="N45">
        <v>0</v>
      </c>
      <c r="O45">
        <v>0</v>
      </c>
      <c r="P45">
        <v>0</v>
      </c>
      <c r="Q45">
        <v>100.9</v>
      </c>
      <c r="R45">
        <v>0</v>
      </c>
      <c r="S45" t="s">
        <v>19</v>
      </c>
      <c r="T45" t="s">
        <v>20</v>
      </c>
      <c r="V45" t="s">
        <v>19</v>
      </c>
    </row>
    <row r="46" spans="1:22" x14ac:dyDescent="0.3">
      <c r="A46">
        <v>8</v>
      </c>
      <c r="B46">
        <v>5</v>
      </c>
      <c r="C46">
        <v>895</v>
      </c>
      <c r="D46">
        <v>97</v>
      </c>
      <c r="E46">
        <v>158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 t="s">
        <v>19</v>
      </c>
      <c r="T46" t="s">
        <v>19</v>
      </c>
      <c r="V46" t="s">
        <v>19</v>
      </c>
    </row>
    <row r="47" spans="1:22" x14ac:dyDescent="0.3">
      <c r="A47">
        <v>9</v>
      </c>
      <c r="B47">
        <v>0</v>
      </c>
      <c r="C47">
        <v>954</v>
      </c>
      <c r="D47">
        <v>391</v>
      </c>
      <c r="E47">
        <v>0</v>
      </c>
      <c r="F47">
        <v>0</v>
      </c>
      <c r="G47">
        <v>0</v>
      </c>
      <c r="H47">
        <v>1</v>
      </c>
      <c r="I47">
        <v>1</v>
      </c>
      <c r="J47">
        <v>0</v>
      </c>
      <c r="K47">
        <v>0</v>
      </c>
      <c r="L47">
        <v>23</v>
      </c>
      <c r="M47">
        <v>6092</v>
      </c>
      <c r="N47">
        <v>0</v>
      </c>
      <c r="O47">
        <v>0</v>
      </c>
      <c r="P47">
        <v>0</v>
      </c>
      <c r="Q47">
        <v>100.9</v>
      </c>
      <c r="R47">
        <v>0</v>
      </c>
      <c r="S47" t="s">
        <v>19</v>
      </c>
      <c r="T47" t="s">
        <v>20</v>
      </c>
      <c r="V47" t="s">
        <v>19</v>
      </c>
    </row>
    <row r="48" spans="1:22" x14ac:dyDescent="0.3">
      <c r="A48">
        <v>9</v>
      </c>
      <c r="B48">
        <v>7</v>
      </c>
      <c r="C48">
        <v>904</v>
      </c>
      <c r="D48">
        <v>130</v>
      </c>
      <c r="E48">
        <v>235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t="s">
        <v>19</v>
      </c>
      <c r="T48" t="s">
        <v>19</v>
      </c>
      <c r="V48" t="s">
        <v>19</v>
      </c>
    </row>
    <row r="49" spans="1:22" x14ac:dyDescent="0.3">
      <c r="A49">
        <v>10</v>
      </c>
      <c r="B49">
        <v>0</v>
      </c>
      <c r="C49">
        <v>961</v>
      </c>
      <c r="D49">
        <v>394</v>
      </c>
      <c r="E49">
        <v>0</v>
      </c>
      <c r="F49">
        <v>0</v>
      </c>
      <c r="G49">
        <v>0</v>
      </c>
      <c r="H49">
        <v>1</v>
      </c>
      <c r="I49">
        <v>1</v>
      </c>
      <c r="J49">
        <v>0</v>
      </c>
      <c r="K49">
        <v>0</v>
      </c>
      <c r="L49">
        <v>23</v>
      </c>
      <c r="M49">
        <v>6092</v>
      </c>
      <c r="N49">
        <v>0</v>
      </c>
      <c r="O49">
        <v>0</v>
      </c>
      <c r="P49">
        <v>0</v>
      </c>
      <c r="Q49">
        <v>100.9</v>
      </c>
      <c r="R49">
        <v>0</v>
      </c>
      <c r="S49" t="s">
        <v>19</v>
      </c>
      <c r="T49" t="s">
        <v>20</v>
      </c>
      <c r="V49" t="s">
        <v>19</v>
      </c>
    </row>
    <row r="50" spans="1:22" x14ac:dyDescent="0.3">
      <c r="A50">
        <v>10</v>
      </c>
      <c r="B50">
        <v>6</v>
      </c>
      <c r="C50">
        <v>892</v>
      </c>
      <c r="D50">
        <v>106</v>
      </c>
      <c r="E50">
        <v>198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19</v>
      </c>
      <c r="T50" t="s">
        <v>19</v>
      </c>
      <c r="V50" t="s">
        <v>19</v>
      </c>
    </row>
    <row r="52" spans="1:22" x14ac:dyDescent="0.3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t="s">
        <v>8</v>
      </c>
      <c r="J52" t="s">
        <v>9</v>
      </c>
      <c r="K52" t="s">
        <v>10</v>
      </c>
      <c r="L52" t="s">
        <v>11</v>
      </c>
      <c r="M52" t="s">
        <v>12</v>
      </c>
      <c r="N52" t="s">
        <v>13</v>
      </c>
      <c r="O52" t="s">
        <v>14</v>
      </c>
      <c r="P52" t="s">
        <v>15</v>
      </c>
      <c r="Q52" t="s">
        <v>16</v>
      </c>
    </row>
    <row r="53" spans="1:22" x14ac:dyDescent="0.3">
      <c r="A53">
        <v>1</v>
      </c>
      <c r="B53">
        <v>0</v>
      </c>
      <c r="C53">
        <v>10000</v>
      </c>
      <c r="D53">
        <v>41430</v>
      </c>
      <c r="E53">
        <v>0</v>
      </c>
      <c r="F53">
        <v>0</v>
      </c>
      <c r="G53">
        <v>84504</v>
      </c>
      <c r="H53">
        <v>1</v>
      </c>
      <c r="I53">
        <v>1</v>
      </c>
      <c r="J53">
        <v>0</v>
      </c>
      <c r="K53">
        <v>0</v>
      </c>
      <c r="L53">
        <v>23</v>
      </c>
      <c r="M53">
        <v>6092</v>
      </c>
      <c r="N53">
        <v>0</v>
      </c>
      <c r="O53">
        <v>0</v>
      </c>
      <c r="P53">
        <v>0</v>
      </c>
      <c r="Q53">
        <v>100.9</v>
      </c>
    </row>
    <row r="54" spans="1:22" x14ac:dyDescent="0.3">
      <c r="A54">
        <v>1</v>
      </c>
      <c r="B54">
        <v>100</v>
      </c>
      <c r="C54">
        <v>10000</v>
      </c>
      <c r="D54">
        <v>20421</v>
      </c>
      <c r="E54">
        <v>44830</v>
      </c>
      <c r="F54">
        <v>0</v>
      </c>
      <c r="G54">
        <v>10493</v>
      </c>
      <c r="H54">
        <v>26</v>
      </c>
      <c r="I54">
        <v>26</v>
      </c>
      <c r="J54">
        <v>0</v>
      </c>
      <c r="K54">
        <v>0</v>
      </c>
      <c r="L54">
        <v>109</v>
      </c>
      <c r="M54">
        <v>13874</v>
      </c>
      <c r="N54">
        <v>951</v>
      </c>
      <c r="O54">
        <v>0</v>
      </c>
      <c r="P54">
        <v>0</v>
      </c>
      <c r="Q54">
        <v>81.2</v>
      </c>
    </row>
    <row r="55" spans="1:22" x14ac:dyDescent="0.3">
      <c r="A55">
        <v>1</v>
      </c>
      <c r="B55">
        <v>200</v>
      </c>
      <c r="C55">
        <v>10000</v>
      </c>
      <c r="D55">
        <v>18089</v>
      </c>
      <c r="E55">
        <v>50531</v>
      </c>
      <c r="F55">
        <v>0</v>
      </c>
      <c r="G55">
        <v>18235</v>
      </c>
      <c r="H55">
        <v>187</v>
      </c>
      <c r="I55">
        <v>189</v>
      </c>
      <c r="J55">
        <v>0</v>
      </c>
      <c r="K55">
        <v>0</v>
      </c>
      <c r="L55">
        <v>100</v>
      </c>
      <c r="M55">
        <v>9819</v>
      </c>
      <c r="N55">
        <v>1165</v>
      </c>
      <c r="O55">
        <v>0</v>
      </c>
      <c r="P55">
        <v>0</v>
      </c>
      <c r="Q55">
        <v>51.8</v>
      </c>
    </row>
    <row r="56" spans="1:22" x14ac:dyDescent="0.3">
      <c r="A56">
        <v>1</v>
      </c>
      <c r="B56">
        <v>300</v>
      </c>
      <c r="C56">
        <v>10000</v>
      </c>
      <c r="D56">
        <v>17894</v>
      </c>
      <c r="E56">
        <v>50129</v>
      </c>
      <c r="F56">
        <v>0</v>
      </c>
      <c r="G56">
        <v>17961</v>
      </c>
      <c r="H56">
        <v>730</v>
      </c>
      <c r="I56">
        <v>1490</v>
      </c>
      <c r="J56">
        <v>0</v>
      </c>
      <c r="K56">
        <v>0</v>
      </c>
      <c r="L56">
        <v>86</v>
      </c>
      <c r="M56">
        <v>9865</v>
      </c>
      <c r="N56">
        <v>1451</v>
      </c>
      <c r="O56">
        <v>0</v>
      </c>
      <c r="P56">
        <v>0</v>
      </c>
      <c r="Q56">
        <v>37.799999999999997</v>
      </c>
    </row>
    <row r="57" spans="1:22" x14ac:dyDescent="0.3">
      <c r="A57">
        <v>1</v>
      </c>
      <c r="B57">
        <v>400</v>
      </c>
      <c r="C57">
        <v>10000</v>
      </c>
      <c r="D57">
        <v>18032</v>
      </c>
      <c r="E57">
        <v>50497</v>
      </c>
      <c r="F57">
        <v>0</v>
      </c>
      <c r="G57">
        <v>18325</v>
      </c>
      <c r="H57">
        <v>1229</v>
      </c>
      <c r="I57">
        <v>6904</v>
      </c>
      <c r="J57">
        <v>0</v>
      </c>
      <c r="K57">
        <v>0</v>
      </c>
      <c r="L57">
        <v>94</v>
      </c>
      <c r="M57">
        <v>9144</v>
      </c>
      <c r="N57">
        <v>1714</v>
      </c>
      <c r="O57">
        <v>0</v>
      </c>
      <c r="P57">
        <v>0</v>
      </c>
      <c r="Q57">
        <v>27.8</v>
      </c>
    </row>
    <row r="58" spans="1:22" x14ac:dyDescent="0.3">
      <c r="A58">
        <v>1</v>
      </c>
      <c r="B58">
        <v>500</v>
      </c>
      <c r="C58">
        <v>10000</v>
      </c>
      <c r="D58">
        <v>18129</v>
      </c>
      <c r="E58">
        <v>50382</v>
      </c>
      <c r="F58">
        <v>0</v>
      </c>
      <c r="G58">
        <v>18354</v>
      </c>
      <c r="H58">
        <v>1485</v>
      </c>
      <c r="I58">
        <v>9859</v>
      </c>
      <c r="J58">
        <v>0</v>
      </c>
      <c r="K58">
        <v>0</v>
      </c>
      <c r="L58">
        <v>50</v>
      </c>
      <c r="M58">
        <v>8355</v>
      </c>
      <c r="N58">
        <v>1852</v>
      </c>
      <c r="O58">
        <v>0</v>
      </c>
      <c r="P58">
        <v>0</v>
      </c>
      <c r="Q58">
        <v>20.9</v>
      </c>
    </row>
    <row r="59" spans="1:22" x14ac:dyDescent="0.3">
      <c r="A59">
        <v>1</v>
      </c>
      <c r="B59">
        <v>589</v>
      </c>
      <c r="C59">
        <v>10000</v>
      </c>
      <c r="D59">
        <v>15918</v>
      </c>
      <c r="E59">
        <v>44916</v>
      </c>
      <c r="F59">
        <v>0</v>
      </c>
      <c r="G59">
        <v>15978</v>
      </c>
      <c r="H59">
        <v>1838</v>
      </c>
      <c r="I59">
        <v>10000</v>
      </c>
      <c r="J59">
        <v>0</v>
      </c>
      <c r="K59">
        <v>0</v>
      </c>
      <c r="L59">
        <v>58</v>
      </c>
      <c r="M59">
        <v>8819</v>
      </c>
      <c r="N59">
        <v>2255</v>
      </c>
      <c r="O59">
        <v>0</v>
      </c>
      <c r="P59">
        <v>0</v>
      </c>
      <c r="Q59">
        <v>18.100000000000001</v>
      </c>
    </row>
    <row r="60" spans="1:22" x14ac:dyDescent="0.3">
      <c r="A60">
        <v>2</v>
      </c>
      <c r="B60">
        <v>0</v>
      </c>
      <c r="C60">
        <v>10000</v>
      </c>
      <c r="D60">
        <v>41505</v>
      </c>
      <c r="E60">
        <v>0</v>
      </c>
      <c r="F60">
        <v>0</v>
      </c>
      <c r="G60">
        <v>84494</v>
      </c>
      <c r="H60">
        <v>1</v>
      </c>
      <c r="I60">
        <v>1</v>
      </c>
      <c r="J60">
        <v>0</v>
      </c>
      <c r="K60">
        <v>0</v>
      </c>
      <c r="L60">
        <v>23</v>
      </c>
      <c r="M60">
        <v>6092</v>
      </c>
      <c r="N60">
        <v>0</v>
      </c>
      <c r="O60">
        <v>0</v>
      </c>
      <c r="P60">
        <v>0</v>
      </c>
      <c r="Q60">
        <v>100.9</v>
      </c>
    </row>
    <row r="61" spans="1:22" x14ac:dyDescent="0.3">
      <c r="A61">
        <v>2</v>
      </c>
      <c r="B61">
        <v>52</v>
      </c>
      <c r="C61">
        <v>10000</v>
      </c>
      <c r="D61">
        <v>11853</v>
      </c>
      <c r="E61">
        <v>20668</v>
      </c>
      <c r="F61">
        <v>0</v>
      </c>
      <c r="G61">
        <v>2031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22" x14ac:dyDescent="0.3">
      <c r="A62">
        <v>3</v>
      </c>
      <c r="B62">
        <v>0</v>
      </c>
      <c r="C62">
        <v>10000</v>
      </c>
      <c r="D62">
        <v>41425</v>
      </c>
      <c r="E62">
        <v>0</v>
      </c>
      <c r="F62">
        <v>0</v>
      </c>
      <c r="G62">
        <v>84500</v>
      </c>
      <c r="H62">
        <v>1</v>
      </c>
      <c r="I62">
        <v>1</v>
      </c>
      <c r="J62">
        <v>0</v>
      </c>
      <c r="K62">
        <v>0</v>
      </c>
      <c r="L62">
        <v>23</v>
      </c>
      <c r="M62">
        <v>6092</v>
      </c>
      <c r="N62">
        <v>0</v>
      </c>
      <c r="O62">
        <v>0</v>
      </c>
      <c r="P62">
        <v>0</v>
      </c>
      <c r="Q62">
        <v>100.9</v>
      </c>
    </row>
    <row r="63" spans="1:22" x14ac:dyDescent="0.3">
      <c r="A63">
        <v>3</v>
      </c>
      <c r="B63">
        <v>23</v>
      </c>
      <c r="C63">
        <v>8649</v>
      </c>
      <c r="D63">
        <v>7134</v>
      </c>
      <c r="E63">
        <v>7580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22" x14ac:dyDescent="0.3">
      <c r="A64">
        <v>4</v>
      </c>
      <c r="B64">
        <v>0</v>
      </c>
      <c r="C64">
        <v>10000</v>
      </c>
      <c r="D64">
        <v>41556</v>
      </c>
      <c r="E64">
        <v>0</v>
      </c>
      <c r="F64">
        <v>0</v>
      </c>
      <c r="G64">
        <v>84453</v>
      </c>
      <c r="H64">
        <v>1</v>
      </c>
      <c r="I64">
        <v>1</v>
      </c>
      <c r="J64">
        <v>0</v>
      </c>
      <c r="K64">
        <v>0</v>
      </c>
      <c r="L64">
        <v>23</v>
      </c>
      <c r="M64">
        <v>6092</v>
      </c>
      <c r="N64">
        <v>0</v>
      </c>
      <c r="O64">
        <v>0</v>
      </c>
      <c r="P64">
        <v>0</v>
      </c>
      <c r="Q64">
        <v>100.9</v>
      </c>
    </row>
    <row r="65" spans="1:17" x14ac:dyDescent="0.3">
      <c r="A65">
        <v>4</v>
      </c>
      <c r="B65">
        <v>20</v>
      </c>
      <c r="C65">
        <v>8453</v>
      </c>
      <c r="D65">
        <v>6720</v>
      </c>
      <c r="E65">
        <v>6581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3">
      <c r="A66">
        <v>5</v>
      </c>
      <c r="B66">
        <v>0</v>
      </c>
      <c r="C66">
        <v>10000</v>
      </c>
      <c r="D66">
        <v>41512</v>
      </c>
      <c r="E66">
        <v>0</v>
      </c>
      <c r="F66">
        <v>0</v>
      </c>
      <c r="G66">
        <v>84342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3">
      <c r="A67">
        <v>6</v>
      </c>
      <c r="B67">
        <v>0</v>
      </c>
      <c r="C67">
        <v>10000</v>
      </c>
      <c r="D67">
        <v>41373</v>
      </c>
      <c r="E67">
        <v>0</v>
      </c>
      <c r="F67">
        <v>0</v>
      </c>
      <c r="G67">
        <v>84466</v>
      </c>
      <c r="H67">
        <v>1</v>
      </c>
      <c r="I67">
        <v>1</v>
      </c>
      <c r="J67">
        <v>0</v>
      </c>
      <c r="K67">
        <v>0</v>
      </c>
      <c r="L67">
        <v>23</v>
      </c>
      <c r="M67">
        <v>6092</v>
      </c>
      <c r="N67">
        <v>0</v>
      </c>
      <c r="O67">
        <v>0</v>
      </c>
      <c r="P67">
        <v>0</v>
      </c>
      <c r="Q67">
        <v>100.9</v>
      </c>
    </row>
    <row r="68" spans="1:17" x14ac:dyDescent="0.3">
      <c r="A68">
        <v>6</v>
      </c>
      <c r="B68">
        <v>37</v>
      </c>
      <c r="C68">
        <v>9715</v>
      </c>
      <c r="D68">
        <v>9290</v>
      </c>
      <c r="E68">
        <v>13274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3">
      <c r="A69">
        <v>7</v>
      </c>
      <c r="B69">
        <v>0</v>
      </c>
      <c r="C69">
        <v>10000</v>
      </c>
      <c r="D69">
        <v>41282</v>
      </c>
      <c r="E69">
        <v>0</v>
      </c>
      <c r="F69">
        <v>0</v>
      </c>
      <c r="G69">
        <v>84523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3">
      <c r="A70">
        <v>8</v>
      </c>
      <c r="B70">
        <v>0</v>
      </c>
      <c r="C70">
        <v>10000</v>
      </c>
      <c r="D70">
        <v>41455</v>
      </c>
      <c r="E70">
        <v>0</v>
      </c>
      <c r="F70">
        <v>0</v>
      </c>
      <c r="G70">
        <v>84469</v>
      </c>
      <c r="H70">
        <v>1</v>
      </c>
      <c r="I70">
        <v>1</v>
      </c>
      <c r="J70">
        <v>0</v>
      </c>
      <c r="K70">
        <v>0</v>
      </c>
      <c r="L70">
        <v>23</v>
      </c>
      <c r="M70">
        <v>6092</v>
      </c>
      <c r="N70">
        <v>0</v>
      </c>
      <c r="O70">
        <v>0</v>
      </c>
      <c r="P70">
        <v>0</v>
      </c>
      <c r="Q70">
        <v>100.9</v>
      </c>
    </row>
    <row r="71" spans="1:17" x14ac:dyDescent="0.3">
      <c r="A71">
        <v>8</v>
      </c>
      <c r="B71">
        <v>42</v>
      </c>
      <c r="C71">
        <v>10000</v>
      </c>
      <c r="D71">
        <v>10265</v>
      </c>
      <c r="E71">
        <v>16196</v>
      </c>
      <c r="F71">
        <v>0</v>
      </c>
      <c r="G71">
        <v>727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3">
      <c r="A72">
        <v>9</v>
      </c>
      <c r="B72">
        <v>0</v>
      </c>
      <c r="C72">
        <v>10000</v>
      </c>
      <c r="D72">
        <v>41581</v>
      </c>
      <c r="E72">
        <v>0</v>
      </c>
      <c r="F72">
        <v>0</v>
      </c>
      <c r="G72">
        <v>84650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3">
      <c r="A73">
        <v>10</v>
      </c>
      <c r="B73">
        <v>0</v>
      </c>
      <c r="C73">
        <v>10000</v>
      </c>
      <c r="D73">
        <v>41379</v>
      </c>
      <c r="E73">
        <v>0</v>
      </c>
      <c r="F73">
        <v>0</v>
      </c>
      <c r="G73">
        <v>84475</v>
      </c>
      <c r="H73">
        <v>1</v>
      </c>
      <c r="I73">
        <v>1</v>
      </c>
      <c r="J73">
        <v>0</v>
      </c>
      <c r="K73">
        <v>0</v>
      </c>
      <c r="L73">
        <v>23</v>
      </c>
      <c r="M73">
        <v>6092</v>
      </c>
      <c r="N73">
        <v>0</v>
      </c>
      <c r="O73">
        <v>0</v>
      </c>
      <c r="P73">
        <v>0</v>
      </c>
      <c r="Q73">
        <v>100.9</v>
      </c>
    </row>
    <row r="74" spans="1:17" x14ac:dyDescent="0.3">
      <c r="A74">
        <v>10</v>
      </c>
      <c r="B74">
        <v>13</v>
      </c>
      <c r="C74">
        <v>8854</v>
      </c>
      <c r="D74">
        <v>5822</v>
      </c>
      <c r="E74">
        <v>4650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6" spans="1:17" x14ac:dyDescent="0.3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6</v>
      </c>
      <c r="G76" t="s">
        <v>7</v>
      </c>
      <c r="H76" t="s">
        <v>8</v>
      </c>
      <c r="I76" t="s">
        <v>11</v>
      </c>
      <c r="J76" t="s">
        <v>12</v>
      </c>
      <c r="K76" t="s">
        <v>13</v>
      </c>
      <c r="L76" t="s">
        <v>16</v>
      </c>
    </row>
    <row r="77" spans="1:17" x14ac:dyDescent="0.3">
      <c r="A77">
        <v>2</v>
      </c>
      <c r="B77">
        <v>578</v>
      </c>
      <c r="C77">
        <v>1000</v>
      </c>
      <c r="D77">
        <v>10298</v>
      </c>
      <c r="E77">
        <v>27677</v>
      </c>
      <c r="F77">
        <v>9081</v>
      </c>
      <c r="G77">
        <v>660</v>
      </c>
      <c r="H77">
        <v>1000</v>
      </c>
      <c r="I77">
        <v>97</v>
      </c>
      <c r="J77">
        <v>20877</v>
      </c>
      <c r="K77">
        <v>3785</v>
      </c>
      <c r="L77">
        <v>38.299999999999997</v>
      </c>
    </row>
    <row r="78" spans="1:17" x14ac:dyDescent="0.3">
      <c r="A78">
        <v>3</v>
      </c>
      <c r="B78">
        <v>488</v>
      </c>
      <c r="C78">
        <v>1000</v>
      </c>
      <c r="D78">
        <v>8647</v>
      </c>
      <c r="E78">
        <v>22997</v>
      </c>
      <c r="F78">
        <v>7292</v>
      </c>
      <c r="G78">
        <v>749</v>
      </c>
      <c r="H78">
        <v>1000</v>
      </c>
      <c r="I78">
        <v>31</v>
      </c>
      <c r="J78">
        <v>6407</v>
      </c>
      <c r="K78">
        <v>1500</v>
      </c>
      <c r="L78">
        <v>17.600000000000001</v>
      </c>
    </row>
    <row r="79" spans="1:17" x14ac:dyDescent="0.3">
      <c r="A79">
        <v>8</v>
      </c>
      <c r="B79">
        <v>499</v>
      </c>
      <c r="C79">
        <v>2000</v>
      </c>
      <c r="D79">
        <v>18250</v>
      </c>
      <c r="E79">
        <v>48190</v>
      </c>
      <c r="F79">
        <v>15965</v>
      </c>
      <c r="G79">
        <v>1503</v>
      </c>
      <c r="H79">
        <v>2000</v>
      </c>
      <c r="I79">
        <v>91</v>
      </c>
      <c r="J79">
        <v>18832</v>
      </c>
      <c r="K79">
        <v>3968</v>
      </c>
      <c r="L79">
        <v>34.9</v>
      </c>
    </row>
    <row r="80" spans="1:17" x14ac:dyDescent="0.3">
      <c r="A80">
        <v>13</v>
      </c>
      <c r="B80">
        <v>543</v>
      </c>
      <c r="C80">
        <v>3000</v>
      </c>
      <c r="D80">
        <v>29559</v>
      </c>
      <c r="E80">
        <v>78938</v>
      </c>
      <c r="F80">
        <v>26164</v>
      </c>
      <c r="G80">
        <v>1035</v>
      </c>
      <c r="H80">
        <v>3000</v>
      </c>
      <c r="I80">
        <v>77</v>
      </c>
      <c r="J80">
        <v>6725</v>
      </c>
      <c r="K80">
        <v>1667</v>
      </c>
      <c r="L80">
        <v>13.8</v>
      </c>
    </row>
    <row r="81" spans="1:12" x14ac:dyDescent="0.3">
      <c r="A81">
        <v>19</v>
      </c>
      <c r="B81">
        <v>518</v>
      </c>
      <c r="C81">
        <v>4000</v>
      </c>
      <c r="D81">
        <v>37888</v>
      </c>
      <c r="E81">
        <v>101003</v>
      </c>
      <c r="F81">
        <v>33917</v>
      </c>
      <c r="G81">
        <v>909</v>
      </c>
      <c r="H81">
        <v>4000</v>
      </c>
      <c r="I81">
        <v>13</v>
      </c>
      <c r="J81">
        <v>4914</v>
      </c>
      <c r="K81">
        <v>1135</v>
      </c>
      <c r="L81">
        <v>9.9</v>
      </c>
    </row>
    <row r="82" spans="1:12" x14ac:dyDescent="0.3">
      <c r="A82">
        <v>20</v>
      </c>
      <c r="B82">
        <v>599</v>
      </c>
      <c r="C82">
        <v>4000</v>
      </c>
      <c r="D82">
        <v>43726</v>
      </c>
      <c r="E82">
        <v>117001</v>
      </c>
      <c r="F82">
        <v>39064</v>
      </c>
      <c r="G82">
        <v>399</v>
      </c>
      <c r="H82">
        <v>4000</v>
      </c>
      <c r="I82">
        <v>0</v>
      </c>
      <c r="J82">
        <v>1781</v>
      </c>
      <c r="K82">
        <v>439</v>
      </c>
      <c r="L82">
        <v>4</v>
      </c>
    </row>
    <row r="83" spans="1:12" x14ac:dyDescent="0.3">
      <c r="A83">
        <v>29</v>
      </c>
      <c r="B83">
        <v>559</v>
      </c>
      <c r="C83">
        <v>6000</v>
      </c>
      <c r="D83">
        <v>61657</v>
      </c>
      <c r="E83">
        <v>164289</v>
      </c>
      <c r="F83">
        <v>55583</v>
      </c>
      <c r="G83">
        <v>1499</v>
      </c>
      <c r="H83">
        <v>6000</v>
      </c>
      <c r="I83">
        <v>83</v>
      </c>
      <c r="J83">
        <v>8293</v>
      </c>
      <c r="K83">
        <v>2087</v>
      </c>
      <c r="L83">
        <v>17.5</v>
      </c>
    </row>
    <row r="84" spans="1:12" x14ac:dyDescent="0.3">
      <c r="A84">
        <v>41</v>
      </c>
      <c r="B84">
        <v>564</v>
      </c>
      <c r="C84">
        <v>9000</v>
      </c>
      <c r="D84">
        <v>93336</v>
      </c>
      <c r="E84">
        <v>248494</v>
      </c>
      <c r="F84">
        <v>82731</v>
      </c>
      <c r="G84">
        <v>2287</v>
      </c>
      <c r="H84">
        <v>9000</v>
      </c>
      <c r="I84">
        <v>16</v>
      </c>
      <c r="J84">
        <v>16780</v>
      </c>
      <c r="K84">
        <v>3260</v>
      </c>
      <c r="L84">
        <v>26.8</v>
      </c>
    </row>
    <row r="85" spans="1:12" x14ac:dyDescent="0.3">
      <c r="A85">
        <v>44</v>
      </c>
      <c r="B85">
        <v>541</v>
      </c>
      <c r="C85">
        <v>9000</v>
      </c>
      <c r="D85">
        <v>89976</v>
      </c>
      <c r="E85">
        <v>239381</v>
      </c>
      <c r="F85">
        <v>80598</v>
      </c>
      <c r="G85">
        <v>3493</v>
      </c>
      <c r="H85">
        <v>9000</v>
      </c>
      <c r="I85">
        <v>275</v>
      </c>
      <c r="J85">
        <v>27576</v>
      </c>
      <c r="K85">
        <v>6373</v>
      </c>
      <c r="L85">
        <v>47.3</v>
      </c>
    </row>
    <row r="86" spans="1:12" x14ac:dyDescent="0.3">
      <c r="A86">
        <v>51</v>
      </c>
      <c r="B86">
        <v>612</v>
      </c>
      <c r="C86">
        <v>10000</v>
      </c>
      <c r="D86">
        <v>113428</v>
      </c>
      <c r="E86">
        <v>301570</v>
      </c>
      <c r="F86">
        <v>102809</v>
      </c>
      <c r="G86">
        <v>1558</v>
      </c>
      <c r="H86">
        <v>10000</v>
      </c>
      <c r="I86">
        <v>47</v>
      </c>
      <c r="J86">
        <v>8586</v>
      </c>
      <c r="K86">
        <v>1899</v>
      </c>
      <c r="L86">
        <v>16.600000000000001</v>
      </c>
    </row>
    <row r="87" spans="1:12" x14ac:dyDescent="0.3">
      <c r="A87">
        <v>52</v>
      </c>
      <c r="B87">
        <v>576</v>
      </c>
      <c r="C87">
        <v>10000</v>
      </c>
      <c r="D87">
        <v>107129</v>
      </c>
      <c r="E87">
        <v>283210</v>
      </c>
      <c r="F87">
        <v>96239</v>
      </c>
      <c r="G87">
        <v>3658</v>
      </c>
      <c r="H87">
        <v>10000</v>
      </c>
      <c r="I87">
        <v>160</v>
      </c>
      <c r="J87">
        <v>21491</v>
      </c>
      <c r="K87">
        <v>5764</v>
      </c>
      <c r="L87">
        <v>35.9</v>
      </c>
    </row>
    <row r="88" spans="1:12" x14ac:dyDescent="0.3">
      <c r="A88">
        <v>55</v>
      </c>
      <c r="B88">
        <v>607</v>
      </c>
      <c r="C88">
        <v>10000</v>
      </c>
      <c r="D88">
        <v>112504</v>
      </c>
      <c r="E88">
        <v>299205</v>
      </c>
      <c r="F88">
        <v>101568</v>
      </c>
      <c r="G88">
        <v>2763</v>
      </c>
      <c r="H88">
        <v>10000</v>
      </c>
      <c r="I88">
        <v>47</v>
      </c>
      <c r="J88">
        <v>17817</v>
      </c>
      <c r="K88">
        <v>3856</v>
      </c>
      <c r="L88">
        <v>24.6</v>
      </c>
    </row>
    <row r="89" spans="1:12" x14ac:dyDescent="0.3">
      <c r="A89">
        <v>56</v>
      </c>
      <c r="B89">
        <v>593</v>
      </c>
      <c r="C89">
        <v>10000</v>
      </c>
      <c r="D89">
        <v>111354</v>
      </c>
      <c r="E89">
        <v>292264</v>
      </c>
      <c r="F89">
        <v>100750</v>
      </c>
      <c r="G89">
        <v>1822</v>
      </c>
      <c r="H89">
        <v>10000</v>
      </c>
      <c r="I89">
        <v>75</v>
      </c>
      <c r="J89">
        <v>9690</v>
      </c>
      <c r="K89">
        <v>2289</v>
      </c>
      <c r="L89">
        <v>19.600000000000001</v>
      </c>
    </row>
    <row r="90" spans="1:12" x14ac:dyDescent="0.3">
      <c r="A90">
        <v>60</v>
      </c>
      <c r="B90">
        <v>548</v>
      </c>
      <c r="C90">
        <v>10000</v>
      </c>
      <c r="D90">
        <v>102536</v>
      </c>
      <c r="E90">
        <v>268338</v>
      </c>
      <c r="F90">
        <v>91452</v>
      </c>
      <c r="G90">
        <v>2018</v>
      </c>
      <c r="H90">
        <v>10000</v>
      </c>
      <c r="I90">
        <v>25</v>
      </c>
      <c r="J90">
        <v>11256</v>
      </c>
      <c r="K90">
        <v>2804</v>
      </c>
      <c r="L90">
        <v>20.6</v>
      </c>
    </row>
    <row r="91" spans="1:12" x14ac:dyDescent="0.3">
      <c r="A91">
        <v>66</v>
      </c>
      <c r="B91">
        <v>618</v>
      </c>
      <c r="C91">
        <v>10000</v>
      </c>
      <c r="D91">
        <v>116776</v>
      </c>
      <c r="E91">
        <v>305076</v>
      </c>
      <c r="F91">
        <v>106791</v>
      </c>
      <c r="G91">
        <v>2079</v>
      </c>
      <c r="H91">
        <v>10000</v>
      </c>
      <c r="I91">
        <v>44</v>
      </c>
      <c r="J91">
        <v>10423</v>
      </c>
      <c r="K91">
        <v>2682</v>
      </c>
      <c r="L91">
        <v>16.899999999999999</v>
      </c>
    </row>
    <row r="92" spans="1:12" x14ac:dyDescent="0.3">
      <c r="A92">
        <v>1</v>
      </c>
      <c r="B92">
        <v>525</v>
      </c>
      <c r="C92">
        <v>1000</v>
      </c>
      <c r="D92">
        <v>9538</v>
      </c>
      <c r="E92">
        <v>25589</v>
      </c>
      <c r="F92">
        <v>8604</v>
      </c>
      <c r="G92">
        <v>521</v>
      </c>
      <c r="H92">
        <v>1000</v>
      </c>
      <c r="I92">
        <v>2</v>
      </c>
      <c r="J92">
        <v>4843</v>
      </c>
      <c r="K92">
        <v>1178</v>
      </c>
      <c r="L92">
        <v>11.4</v>
      </c>
    </row>
    <row r="93" spans="1:12" x14ac:dyDescent="0.3">
      <c r="A93">
        <v>2</v>
      </c>
      <c r="B93">
        <v>506</v>
      </c>
      <c r="C93">
        <v>1000</v>
      </c>
      <c r="D93">
        <v>9076</v>
      </c>
      <c r="E93">
        <v>24521</v>
      </c>
      <c r="F93">
        <v>7905</v>
      </c>
      <c r="G93">
        <v>598</v>
      </c>
      <c r="H93">
        <v>1000</v>
      </c>
      <c r="I93">
        <v>61</v>
      </c>
      <c r="J93">
        <v>6505</v>
      </c>
      <c r="K93">
        <v>1366</v>
      </c>
      <c r="L93">
        <v>11.4</v>
      </c>
    </row>
    <row r="94" spans="1:12" x14ac:dyDescent="0.3">
      <c r="A94">
        <v>3</v>
      </c>
      <c r="B94">
        <v>8</v>
      </c>
      <c r="C94">
        <v>953</v>
      </c>
      <c r="D94">
        <v>539</v>
      </c>
      <c r="E94">
        <v>342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3">
      <c r="A95">
        <v>4</v>
      </c>
      <c r="B95">
        <v>28</v>
      </c>
      <c r="C95">
        <v>917</v>
      </c>
      <c r="D95">
        <v>857</v>
      </c>
      <c r="E95">
        <v>979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3">
      <c r="A96">
        <v>5</v>
      </c>
      <c r="B96">
        <v>14</v>
      </c>
      <c r="C96">
        <v>877</v>
      </c>
      <c r="D96">
        <v>630</v>
      </c>
      <c r="E96">
        <v>504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27" x14ac:dyDescent="0.3">
      <c r="A97">
        <v>6</v>
      </c>
      <c r="B97">
        <v>13</v>
      </c>
      <c r="C97">
        <v>906</v>
      </c>
      <c r="D97">
        <v>638</v>
      </c>
      <c r="E97">
        <v>550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27" x14ac:dyDescent="0.3">
      <c r="A98">
        <v>7</v>
      </c>
      <c r="B98">
        <v>0</v>
      </c>
      <c r="C98">
        <v>947</v>
      </c>
      <c r="D98">
        <v>427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27" x14ac:dyDescent="0.3">
      <c r="A99">
        <v>8</v>
      </c>
      <c r="B99">
        <v>0</v>
      </c>
      <c r="C99">
        <v>948</v>
      </c>
      <c r="D99">
        <v>430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27" x14ac:dyDescent="0.3">
      <c r="A100">
        <v>9</v>
      </c>
      <c r="B100">
        <v>96</v>
      </c>
      <c r="C100">
        <v>1000</v>
      </c>
      <c r="D100">
        <v>1978</v>
      </c>
      <c r="E100">
        <v>4229</v>
      </c>
      <c r="F100">
        <v>919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27" x14ac:dyDescent="0.3">
      <c r="A101">
        <v>10</v>
      </c>
      <c r="B101">
        <v>10</v>
      </c>
      <c r="C101">
        <v>903</v>
      </c>
      <c r="D101">
        <v>609</v>
      </c>
      <c r="E101">
        <v>424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O101" t="s">
        <v>77</v>
      </c>
    </row>
    <row r="103" spans="1:27" x14ac:dyDescent="0.3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6</v>
      </c>
      <c r="G103" t="s">
        <v>7</v>
      </c>
      <c r="H103" t="s">
        <v>8</v>
      </c>
      <c r="I103" t="s">
        <v>9</v>
      </c>
      <c r="J103" t="s">
        <v>11</v>
      </c>
      <c r="K103" t="s">
        <v>12</v>
      </c>
      <c r="L103" t="s">
        <v>13</v>
      </c>
      <c r="M103" t="s">
        <v>16</v>
      </c>
      <c r="O103" s="6" t="s">
        <v>76</v>
      </c>
      <c r="P103" s="3" t="s">
        <v>69</v>
      </c>
      <c r="Q103" s="4"/>
      <c r="R103" s="3" t="s">
        <v>71</v>
      </c>
      <c r="S103" s="5"/>
      <c r="T103" s="5"/>
      <c r="U103" s="5"/>
      <c r="V103" s="4"/>
      <c r="W103" s="5" t="s">
        <v>61</v>
      </c>
      <c r="X103" s="5"/>
      <c r="Y103" s="5"/>
      <c r="Z103" s="5"/>
      <c r="AA103" s="5"/>
    </row>
    <row r="104" spans="1:27" x14ac:dyDescent="0.3">
      <c r="A104">
        <v>1</v>
      </c>
      <c r="B104">
        <v>26</v>
      </c>
      <c r="C104">
        <v>635</v>
      </c>
      <c r="D104">
        <v>780</v>
      </c>
      <c r="E104">
        <v>506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O104" s="7"/>
      <c r="P104" s="13" t="s">
        <v>2</v>
      </c>
      <c r="Q104" s="14" t="s">
        <v>70</v>
      </c>
      <c r="R104" s="13" t="s">
        <v>2</v>
      </c>
      <c r="S104" s="2" t="s">
        <v>66</v>
      </c>
      <c r="T104" s="2" t="s">
        <v>65</v>
      </c>
      <c r="U104" s="2" t="s">
        <v>64</v>
      </c>
      <c r="V104" s="14" t="s">
        <v>63</v>
      </c>
      <c r="W104" s="2" t="s">
        <v>2</v>
      </c>
      <c r="X104" s="2" t="s">
        <v>66</v>
      </c>
      <c r="Y104" s="2" t="s">
        <v>60</v>
      </c>
      <c r="Z104" s="2" t="s">
        <v>67</v>
      </c>
      <c r="AA104" s="2" t="s">
        <v>68</v>
      </c>
    </row>
    <row r="105" spans="1:27" x14ac:dyDescent="0.3">
      <c r="A105">
        <v>2</v>
      </c>
      <c r="B105">
        <v>17</v>
      </c>
      <c r="C105">
        <v>673</v>
      </c>
      <c r="D105">
        <v>660</v>
      </c>
      <c r="E105">
        <v>315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O105" s="1">
        <v>1000</v>
      </c>
      <c r="P105" s="8">
        <f>COUNT(H104:H181)</f>
        <v>78</v>
      </c>
      <c r="Q105" s="9">
        <f>AVERAGE(B104:B181)</f>
        <v>16.012820512820515</v>
      </c>
      <c r="R105" s="8">
        <v>22</v>
      </c>
      <c r="S105" s="10">
        <f>AVERAGE(B182:B203)</f>
        <v>819.9545454545455</v>
      </c>
      <c r="T105" s="11">
        <f>MIN(B182:B203)</f>
        <v>446</v>
      </c>
      <c r="U105" s="11">
        <f>MAX(B182:B203)</f>
        <v>3734</v>
      </c>
      <c r="V105" s="9">
        <f>STDEV(B182:B203)</f>
        <v>686.03224117437503</v>
      </c>
      <c r="W105" s="12">
        <v>22</v>
      </c>
      <c r="X105" s="12">
        <f>AVERAGE(G182:G203)</f>
        <v>724.86363636363637</v>
      </c>
      <c r="Y105" s="18">
        <f>X105/O105</f>
        <v>0.72486363636363638</v>
      </c>
      <c r="Z105" s="1">
        <v>8</v>
      </c>
      <c r="AA105" s="12">
        <f>AVERAGE(M182:M203)</f>
        <v>35.209090909090904</v>
      </c>
    </row>
    <row r="106" spans="1:27" x14ac:dyDescent="0.3">
      <c r="A106">
        <v>3</v>
      </c>
      <c r="B106">
        <v>7</v>
      </c>
      <c r="C106">
        <v>775</v>
      </c>
      <c r="D106">
        <v>538</v>
      </c>
      <c r="E106">
        <v>98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O106" s="1">
        <v>2000</v>
      </c>
      <c r="P106" s="8">
        <v>75</v>
      </c>
      <c r="Q106" s="9">
        <v>15.16</v>
      </c>
      <c r="R106" s="8">
        <v>25</v>
      </c>
      <c r="S106" s="10">
        <v>601.55999999999995</v>
      </c>
      <c r="T106" s="11">
        <f>MIN(B206:B230)</f>
        <v>495</v>
      </c>
      <c r="U106" s="11">
        <f>MAX(B206:B230)</f>
        <v>843</v>
      </c>
      <c r="V106" s="9">
        <f>STDEV(B206:B230)</f>
        <v>84.758519729090793</v>
      </c>
      <c r="W106" s="12">
        <v>25</v>
      </c>
      <c r="X106" s="12">
        <f>AVERAGE(G206:G230)</f>
        <v>1142.1199999999999</v>
      </c>
      <c r="Y106" s="18">
        <f t="shared" ref="Y106:Y111" si="0">X106/O106</f>
        <v>0.5710599999999999</v>
      </c>
      <c r="Z106" s="1">
        <v>5</v>
      </c>
      <c r="AA106" s="12">
        <f>AVERAGE(M206:M230)</f>
        <v>28.788</v>
      </c>
    </row>
    <row r="107" spans="1:27" x14ac:dyDescent="0.3">
      <c r="A107">
        <v>4</v>
      </c>
      <c r="B107">
        <v>44</v>
      </c>
      <c r="C107">
        <v>656</v>
      </c>
      <c r="D107">
        <v>968</v>
      </c>
      <c r="E107">
        <v>928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O107" s="1">
        <v>3000</v>
      </c>
      <c r="P107" s="8">
        <v>72</v>
      </c>
      <c r="Q107" s="9">
        <v>16.010000000000002</v>
      </c>
      <c r="R107" s="8">
        <v>28</v>
      </c>
      <c r="S107" s="10">
        <v>606</v>
      </c>
      <c r="T107" s="11">
        <v>497</v>
      </c>
      <c r="U107" s="11">
        <v>804</v>
      </c>
      <c r="V107" s="9">
        <v>74.835622335692321</v>
      </c>
      <c r="W107" s="12">
        <v>28</v>
      </c>
      <c r="X107" s="12">
        <v>1730</v>
      </c>
      <c r="Y107" s="18">
        <f t="shared" si="0"/>
        <v>0.57666666666666666</v>
      </c>
      <c r="Z107" s="1">
        <v>5</v>
      </c>
      <c r="AA107" s="12">
        <v>40.539285714285711</v>
      </c>
    </row>
    <row r="108" spans="1:27" x14ac:dyDescent="0.3">
      <c r="A108">
        <v>7</v>
      </c>
      <c r="B108">
        <v>3</v>
      </c>
      <c r="C108">
        <v>901</v>
      </c>
      <c r="D108">
        <v>471</v>
      </c>
      <c r="E108">
        <v>38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O108" s="1">
        <v>4000</v>
      </c>
      <c r="P108" s="8">
        <v>75</v>
      </c>
      <c r="Q108" s="9">
        <v>10.4</v>
      </c>
      <c r="R108" s="8">
        <v>25</v>
      </c>
      <c r="S108" s="10">
        <v>621.20000000000005</v>
      </c>
      <c r="T108" s="11">
        <v>481</v>
      </c>
      <c r="U108" s="11">
        <v>754</v>
      </c>
      <c r="V108" s="9">
        <v>73.574225559408148</v>
      </c>
      <c r="W108" s="12">
        <v>25</v>
      </c>
      <c r="X108" s="12">
        <v>1674.7</v>
      </c>
      <c r="Y108" s="18">
        <f t="shared" si="0"/>
        <v>0.41867500000000002</v>
      </c>
      <c r="Z108" s="1">
        <v>4</v>
      </c>
      <c r="AA108" s="12">
        <v>27.28</v>
      </c>
    </row>
    <row r="109" spans="1:27" x14ac:dyDescent="0.3">
      <c r="A109">
        <v>9</v>
      </c>
      <c r="B109">
        <v>9</v>
      </c>
      <c r="C109">
        <v>757</v>
      </c>
      <c r="D109">
        <v>555</v>
      </c>
      <c r="E109">
        <v>137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O109" s="1">
        <v>5000</v>
      </c>
      <c r="P109" s="8">
        <v>90</v>
      </c>
      <c r="Q109" s="9">
        <v>15.25</v>
      </c>
      <c r="R109" s="8">
        <v>10</v>
      </c>
      <c r="S109" s="10">
        <v>600.70000000000005</v>
      </c>
      <c r="T109" s="11">
        <v>533</v>
      </c>
      <c r="U109" s="11">
        <v>637</v>
      </c>
      <c r="V109" s="9">
        <v>45.813753393495276</v>
      </c>
      <c r="W109" s="12">
        <v>25</v>
      </c>
      <c r="X109" s="12">
        <v>2022</v>
      </c>
      <c r="Y109" s="18">
        <f t="shared" si="0"/>
        <v>0.40439999999999998</v>
      </c>
      <c r="Z109" s="1">
        <v>2</v>
      </c>
      <c r="AA109" s="12">
        <v>30.53</v>
      </c>
    </row>
    <row r="110" spans="1:27" x14ac:dyDescent="0.3">
      <c r="A110">
        <v>11</v>
      </c>
      <c r="B110">
        <v>2</v>
      </c>
      <c r="C110">
        <v>879</v>
      </c>
      <c r="D110">
        <v>455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O110" s="1">
        <v>6000</v>
      </c>
      <c r="P110" s="8">
        <v>77</v>
      </c>
      <c r="Q110" s="9">
        <v>12.5</v>
      </c>
      <c r="R110" s="8">
        <v>23</v>
      </c>
      <c r="S110" s="10">
        <v>622</v>
      </c>
      <c r="T110" s="11">
        <v>520</v>
      </c>
      <c r="U110" s="11">
        <v>723</v>
      </c>
      <c r="V110" s="9">
        <v>52.55984731148974</v>
      </c>
      <c r="W110" s="12">
        <v>23</v>
      </c>
      <c r="X110" s="12">
        <v>1976</v>
      </c>
      <c r="Y110" s="18">
        <f t="shared" si="0"/>
        <v>0.32933333333333331</v>
      </c>
      <c r="Z110" s="1">
        <v>2</v>
      </c>
      <c r="AA110" s="12">
        <v>26.552173913043475</v>
      </c>
    </row>
    <row r="111" spans="1:27" x14ac:dyDescent="0.3">
      <c r="A111">
        <v>12</v>
      </c>
      <c r="B111">
        <v>17</v>
      </c>
      <c r="C111">
        <v>719</v>
      </c>
      <c r="D111">
        <v>674</v>
      </c>
      <c r="E111">
        <v>352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O111" s="1">
        <v>7000</v>
      </c>
      <c r="P111" s="8">
        <v>76</v>
      </c>
      <c r="Q111" s="9">
        <v>14</v>
      </c>
      <c r="R111" s="8">
        <v>24</v>
      </c>
      <c r="S111" s="10">
        <v>616.79999999999995</v>
      </c>
      <c r="T111" s="11">
        <v>509</v>
      </c>
      <c r="U111" s="11">
        <v>729</v>
      </c>
      <c r="V111" s="9">
        <v>62.057943937880353</v>
      </c>
      <c r="W111" s="12">
        <v>24</v>
      </c>
      <c r="X111" s="12">
        <v>2686.25</v>
      </c>
      <c r="Y111" s="18">
        <f t="shared" si="0"/>
        <v>0.38374999999999998</v>
      </c>
      <c r="Z111" s="1">
        <v>4</v>
      </c>
      <c r="AA111" s="12">
        <v>33.412500000000001</v>
      </c>
    </row>
    <row r="112" spans="1:27" x14ac:dyDescent="0.3">
      <c r="A112">
        <v>13</v>
      </c>
      <c r="B112">
        <v>62</v>
      </c>
      <c r="C112">
        <v>618</v>
      </c>
      <c r="D112">
        <v>1100</v>
      </c>
      <c r="E112">
        <v>1198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 x14ac:dyDescent="0.3">
      <c r="A113">
        <v>15</v>
      </c>
      <c r="B113">
        <v>11</v>
      </c>
      <c r="C113">
        <v>761</v>
      </c>
      <c r="D113">
        <v>598</v>
      </c>
      <c r="E113">
        <v>206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 x14ac:dyDescent="0.3">
      <c r="A114">
        <v>16</v>
      </c>
      <c r="B114">
        <v>10</v>
      </c>
      <c r="C114">
        <v>767</v>
      </c>
      <c r="D114">
        <v>610</v>
      </c>
      <c r="E114">
        <v>185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 x14ac:dyDescent="0.3">
      <c r="A115">
        <v>17</v>
      </c>
      <c r="B115">
        <v>41</v>
      </c>
      <c r="C115">
        <v>560</v>
      </c>
      <c r="D115">
        <v>912</v>
      </c>
      <c r="E115">
        <v>723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 x14ac:dyDescent="0.3">
      <c r="A116">
        <v>18</v>
      </c>
      <c r="B116">
        <v>28</v>
      </c>
      <c r="C116">
        <v>614</v>
      </c>
      <c r="D116">
        <v>797</v>
      </c>
      <c r="E116">
        <v>535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 x14ac:dyDescent="0.3">
      <c r="A117">
        <v>19</v>
      </c>
      <c r="B117">
        <v>26</v>
      </c>
      <c r="C117">
        <v>591</v>
      </c>
      <c r="D117">
        <v>765</v>
      </c>
      <c r="E117">
        <v>466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 x14ac:dyDescent="0.3">
      <c r="A118">
        <v>20</v>
      </c>
      <c r="B118">
        <v>20</v>
      </c>
      <c r="C118">
        <v>604</v>
      </c>
      <c r="D118">
        <v>707</v>
      </c>
      <c r="E118">
        <v>322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 x14ac:dyDescent="0.3">
      <c r="A119">
        <v>21</v>
      </c>
      <c r="B119">
        <v>12</v>
      </c>
      <c r="C119">
        <v>777</v>
      </c>
      <c r="D119">
        <v>608</v>
      </c>
      <c r="E119">
        <v>260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 x14ac:dyDescent="0.3">
      <c r="A120">
        <v>22</v>
      </c>
      <c r="B120">
        <v>45</v>
      </c>
      <c r="C120">
        <v>589</v>
      </c>
      <c r="D120">
        <v>977</v>
      </c>
      <c r="E120">
        <v>921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 x14ac:dyDescent="0.3">
      <c r="A121">
        <v>24</v>
      </c>
      <c r="B121">
        <v>7</v>
      </c>
      <c r="C121">
        <v>806</v>
      </c>
      <c r="D121">
        <v>541</v>
      </c>
      <c r="E121">
        <v>119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 x14ac:dyDescent="0.3">
      <c r="A122">
        <v>26</v>
      </c>
      <c r="B122">
        <v>21</v>
      </c>
      <c r="C122">
        <v>613</v>
      </c>
      <c r="D122">
        <v>653</v>
      </c>
      <c r="E122">
        <v>338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 x14ac:dyDescent="0.3">
      <c r="A123">
        <v>27</v>
      </c>
      <c r="B123">
        <v>36</v>
      </c>
      <c r="C123">
        <v>626</v>
      </c>
      <c r="D123">
        <v>871</v>
      </c>
      <c r="E123">
        <v>691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 x14ac:dyDescent="0.3">
      <c r="A124">
        <v>28</v>
      </c>
      <c r="B124">
        <v>17</v>
      </c>
      <c r="C124">
        <v>724</v>
      </c>
      <c r="D124">
        <v>648</v>
      </c>
      <c r="E124">
        <v>326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 x14ac:dyDescent="0.3">
      <c r="A125">
        <v>29</v>
      </c>
      <c r="B125">
        <v>5</v>
      </c>
      <c r="C125">
        <v>833</v>
      </c>
      <c r="D125">
        <v>492</v>
      </c>
      <c r="E125">
        <v>66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 x14ac:dyDescent="0.3">
      <c r="A126">
        <v>30</v>
      </c>
      <c r="B126">
        <v>19</v>
      </c>
      <c r="C126">
        <v>671</v>
      </c>
      <c r="D126">
        <v>655</v>
      </c>
      <c r="E126">
        <v>396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 x14ac:dyDescent="0.3">
      <c r="A127">
        <v>31</v>
      </c>
      <c r="B127">
        <v>3</v>
      </c>
      <c r="C127">
        <v>882</v>
      </c>
      <c r="D127">
        <v>433</v>
      </c>
      <c r="E127">
        <v>39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 x14ac:dyDescent="0.3">
      <c r="A128">
        <v>32</v>
      </c>
      <c r="B128">
        <v>4</v>
      </c>
      <c r="C128">
        <v>868</v>
      </c>
      <c r="D128">
        <v>481</v>
      </c>
      <c r="E128">
        <v>64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 x14ac:dyDescent="0.3">
      <c r="A129">
        <v>33</v>
      </c>
      <c r="B129">
        <v>62</v>
      </c>
      <c r="C129">
        <v>737</v>
      </c>
      <c r="D129">
        <v>1149</v>
      </c>
      <c r="E129">
        <v>1418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 x14ac:dyDescent="0.3">
      <c r="A130">
        <v>34</v>
      </c>
      <c r="B130">
        <v>1</v>
      </c>
      <c r="C130">
        <v>933</v>
      </c>
      <c r="D130">
        <v>422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 x14ac:dyDescent="0.3">
      <c r="A131">
        <v>35</v>
      </c>
      <c r="B131">
        <v>12</v>
      </c>
      <c r="C131">
        <v>739</v>
      </c>
      <c r="D131">
        <v>613</v>
      </c>
      <c r="E131">
        <v>218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 x14ac:dyDescent="0.3">
      <c r="A132">
        <v>36</v>
      </c>
      <c r="B132">
        <v>4</v>
      </c>
      <c r="C132">
        <v>884</v>
      </c>
      <c r="D132">
        <v>473</v>
      </c>
      <c r="E132">
        <v>70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 x14ac:dyDescent="0.3">
      <c r="A133">
        <v>39</v>
      </c>
      <c r="B133">
        <v>20</v>
      </c>
      <c r="C133">
        <v>720</v>
      </c>
      <c r="D133">
        <v>685</v>
      </c>
      <c r="E133">
        <v>465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 x14ac:dyDescent="0.3">
      <c r="A134">
        <v>40</v>
      </c>
      <c r="B134">
        <v>5</v>
      </c>
      <c r="C134">
        <v>858</v>
      </c>
      <c r="D134">
        <v>508</v>
      </c>
      <c r="E134">
        <v>77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 x14ac:dyDescent="0.3">
      <c r="A135">
        <v>41</v>
      </c>
      <c r="B135">
        <v>1</v>
      </c>
      <c r="C135">
        <v>930</v>
      </c>
      <c r="D135">
        <v>426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 x14ac:dyDescent="0.3">
      <c r="A136">
        <v>42</v>
      </c>
      <c r="B136">
        <v>1</v>
      </c>
      <c r="C136">
        <v>929</v>
      </c>
      <c r="D136">
        <v>432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 x14ac:dyDescent="0.3">
      <c r="A137">
        <v>43</v>
      </c>
      <c r="B137">
        <v>7</v>
      </c>
      <c r="C137">
        <v>815</v>
      </c>
      <c r="D137">
        <v>521</v>
      </c>
      <c r="E137">
        <v>130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 x14ac:dyDescent="0.3">
      <c r="A138">
        <v>45</v>
      </c>
      <c r="B138">
        <v>6</v>
      </c>
      <c r="C138">
        <v>855</v>
      </c>
      <c r="D138">
        <v>504</v>
      </c>
      <c r="E138">
        <v>95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 x14ac:dyDescent="0.3">
      <c r="A139">
        <v>46</v>
      </c>
      <c r="B139">
        <v>20</v>
      </c>
      <c r="C139">
        <v>715</v>
      </c>
      <c r="D139">
        <v>700</v>
      </c>
      <c r="E139">
        <v>459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 x14ac:dyDescent="0.3">
      <c r="A140">
        <v>49</v>
      </c>
      <c r="B140">
        <v>10</v>
      </c>
      <c r="C140">
        <v>790</v>
      </c>
      <c r="D140">
        <v>584</v>
      </c>
      <c r="E140">
        <v>208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 x14ac:dyDescent="0.3">
      <c r="A141">
        <v>50</v>
      </c>
      <c r="B141">
        <v>5</v>
      </c>
      <c r="C141">
        <v>838</v>
      </c>
      <c r="D141">
        <v>488</v>
      </c>
      <c r="E141">
        <v>66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 x14ac:dyDescent="0.3">
      <c r="A142">
        <v>51</v>
      </c>
      <c r="B142">
        <v>0</v>
      </c>
      <c r="C142">
        <v>959</v>
      </c>
      <c r="D142">
        <v>415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 x14ac:dyDescent="0.3">
      <c r="A143">
        <v>53</v>
      </c>
      <c r="B143">
        <v>60</v>
      </c>
      <c r="C143">
        <v>542</v>
      </c>
      <c r="D143">
        <v>1048</v>
      </c>
      <c r="E143">
        <v>1010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 x14ac:dyDescent="0.3">
      <c r="A144">
        <v>55</v>
      </c>
      <c r="B144">
        <v>33</v>
      </c>
      <c r="C144">
        <v>551</v>
      </c>
      <c r="D144">
        <v>838</v>
      </c>
      <c r="E144">
        <v>560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 x14ac:dyDescent="0.3">
      <c r="A145">
        <v>56</v>
      </c>
      <c r="B145">
        <v>6</v>
      </c>
      <c r="C145">
        <v>810</v>
      </c>
      <c r="D145">
        <v>515</v>
      </c>
      <c r="E145">
        <v>93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 x14ac:dyDescent="0.3">
      <c r="A146">
        <v>58</v>
      </c>
      <c r="B146">
        <v>0</v>
      </c>
      <c r="C146">
        <v>964</v>
      </c>
      <c r="D146">
        <v>415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 x14ac:dyDescent="0.3">
      <c r="A147">
        <v>60</v>
      </c>
      <c r="B147">
        <v>11</v>
      </c>
      <c r="C147">
        <v>762</v>
      </c>
      <c r="D147">
        <v>608</v>
      </c>
      <c r="E147">
        <v>220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 x14ac:dyDescent="0.3">
      <c r="A148">
        <v>61</v>
      </c>
      <c r="B148">
        <v>7</v>
      </c>
      <c r="C148">
        <v>833</v>
      </c>
      <c r="D148">
        <v>537</v>
      </c>
      <c r="E148">
        <v>140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 x14ac:dyDescent="0.3">
      <c r="A149">
        <v>62</v>
      </c>
      <c r="B149">
        <v>2</v>
      </c>
      <c r="C149">
        <v>868</v>
      </c>
      <c r="D149">
        <v>438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 x14ac:dyDescent="0.3">
      <c r="A150">
        <v>63</v>
      </c>
      <c r="B150">
        <v>19</v>
      </c>
      <c r="C150">
        <v>662</v>
      </c>
      <c r="D150">
        <v>692</v>
      </c>
      <c r="E150">
        <v>374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 x14ac:dyDescent="0.3">
      <c r="A151">
        <v>64</v>
      </c>
      <c r="B151">
        <v>3</v>
      </c>
      <c r="C151">
        <v>863</v>
      </c>
      <c r="D151">
        <v>471</v>
      </c>
      <c r="E151">
        <v>46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 x14ac:dyDescent="0.3">
      <c r="A152">
        <v>65</v>
      </c>
      <c r="B152">
        <v>17</v>
      </c>
      <c r="C152">
        <v>734</v>
      </c>
      <c r="D152">
        <v>666</v>
      </c>
      <c r="E152">
        <v>367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 x14ac:dyDescent="0.3">
      <c r="A153">
        <v>66</v>
      </c>
      <c r="B153">
        <v>52</v>
      </c>
      <c r="C153">
        <v>576</v>
      </c>
      <c r="D153">
        <v>995</v>
      </c>
      <c r="E153">
        <v>959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3">
      <c r="A154">
        <v>67</v>
      </c>
      <c r="B154">
        <v>8</v>
      </c>
      <c r="C154">
        <v>798</v>
      </c>
      <c r="D154">
        <v>526</v>
      </c>
      <c r="E154">
        <v>125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 x14ac:dyDescent="0.3">
      <c r="A155">
        <v>68</v>
      </c>
      <c r="B155">
        <v>41</v>
      </c>
      <c r="C155">
        <v>585</v>
      </c>
      <c r="D155">
        <v>939</v>
      </c>
      <c r="E155">
        <v>800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 x14ac:dyDescent="0.3">
      <c r="A156">
        <v>69</v>
      </c>
      <c r="B156">
        <v>1</v>
      </c>
      <c r="C156">
        <v>914</v>
      </c>
      <c r="D156">
        <v>433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 x14ac:dyDescent="0.3">
      <c r="A157">
        <v>70</v>
      </c>
      <c r="B157">
        <v>0</v>
      </c>
      <c r="C157">
        <v>962</v>
      </c>
      <c r="D157">
        <v>405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 x14ac:dyDescent="0.3">
      <c r="A158">
        <v>71</v>
      </c>
      <c r="B158">
        <v>25</v>
      </c>
      <c r="C158">
        <v>587</v>
      </c>
      <c r="D158">
        <v>738</v>
      </c>
      <c r="E158">
        <v>447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 x14ac:dyDescent="0.3">
      <c r="A159">
        <v>72</v>
      </c>
      <c r="B159">
        <v>16</v>
      </c>
      <c r="C159">
        <v>672</v>
      </c>
      <c r="D159">
        <v>651</v>
      </c>
      <c r="E159">
        <v>292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 x14ac:dyDescent="0.3">
      <c r="A160">
        <v>73</v>
      </c>
      <c r="B160">
        <v>11</v>
      </c>
      <c r="C160">
        <v>757</v>
      </c>
      <c r="D160">
        <v>616</v>
      </c>
      <c r="E160">
        <v>201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 x14ac:dyDescent="0.3">
      <c r="A161">
        <v>74</v>
      </c>
      <c r="B161">
        <v>0</v>
      </c>
      <c r="C161">
        <v>958</v>
      </c>
      <c r="D161">
        <v>399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 x14ac:dyDescent="0.3">
      <c r="A162">
        <v>76</v>
      </c>
      <c r="B162">
        <v>26</v>
      </c>
      <c r="C162">
        <v>620</v>
      </c>
      <c r="D162">
        <v>787</v>
      </c>
      <c r="E162">
        <v>523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 x14ac:dyDescent="0.3">
      <c r="A163">
        <v>77</v>
      </c>
      <c r="B163">
        <v>2</v>
      </c>
      <c r="C163">
        <v>884</v>
      </c>
      <c r="D163">
        <v>449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 x14ac:dyDescent="0.3">
      <c r="A164">
        <v>78</v>
      </c>
      <c r="B164">
        <v>3</v>
      </c>
      <c r="C164">
        <v>880</v>
      </c>
      <c r="D164">
        <v>455</v>
      </c>
      <c r="E164">
        <v>38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 x14ac:dyDescent="0.3">
      <c r="A165">
        <v>79</v>
      </c>
      <c r="B165">
        <v>34</v>
      </c>
      <c r="C165">
        <v>607</v>
      </c>
      <c r="D165">
        <v>845</v>
      </c>
      <c r="E165">
        <v>640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 x14ac:dyDescent="0.3">
      <c r="A166">
        <v>80</v>
      </c>
      <c r="B166">
        <v>15</v>
      </c>
      <c r="C166">
        <v>689</v>
      </c>
      <c r="D166">
        <v>656</v>
      </c>
      <c r="E166">
        <v>292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 x14ac:dyDescent="0.3">
      <c r="A167">
        <v>81</v>
      </c>
      <c r="B167">
        <v>40</v>
      </c>
      <c r="C167">
        <v>595</v>
      </c>
      <c r="D167">
        <v>927</v>
      </c>
      <c r="E167">
        <v>779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 x14ac:dyDescent="0.3">
      <c r="A168">
        <v>83</v>
      </c>
      <c r="B168">
        <v>21</v>
      </c>
      <c r="C168">
        <v>667</v>
      </c>
      <c r="D168">
        <v>694</v>
      </c>
      <c r="E168">
        <v>446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 x14ac:dyDescent="0.3">
      <c r="A169">
        <v>84</v>
      </c>
      <c r="B169">
        <v>3</v>
      </c>
      <c r="C169">
        <v>884</v>
      </c>
      <c r="D169">
        <v>457</v>
      </c>
      <c r="E169">
        <v>31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 x14ac:dyDescent="0.3">
      <c r="A170">
        <v>85</v>
      </c>
      <c r="B170">
        <v>4</v>
      </c>
      <c r="C170">
        <v>855</v>
      </c>
      <c r="D170">
        <v>477</v>
      </c>
      <c r="E170">
        <v>70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 x14ac:dyDescent="0.3">
      <c r="A171">
        <v>86</v>
      </c>
      <c r="B171">
        <v>21</v>
      </c>
      <c r="C171">
        <v>668</v>
      </c>
      <c r="D171">
        <v>733</v>
      </c>
      <c r="E171">
        <v>407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 x14ac:dyDescent="0.3">
      <c r="A172">
        <v>87</v>
      </c>
      <c r="B172">
        <v>47</v>
      </c>
      <c r="C172">
        <v>686</v>
      </c>
      <c r="D172">
        <v>948</v>
      </c>
      <c r="E172">
        <v>1002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 x14ac:dyDescent="0.3">
      <c r="A173">
        <v>88</v>
      </c>
      <c r="B173">
        <v>6</v>
      </c>
      <c r="C173">
        <v>857</v>
      </c>
      <c r="D173">
        <v>512</v>
      </c>
      <c r="E173">
        <v>99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 x14ac:dyDescent="0.3">
      <c r="A174">
        <v>89</v>
      </c>
      <c r="B174">
        <v>16</v>
      </c>
      <c r="C174">
        <v>701</v>
      </c>
      <c r="D174">
        <v>642</v>
      </c>
      <c r="E174">
        <v>303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 x14ac:dyDescent="0.3">
      <c r="A175">
        <v>91</v>
      </c>
      <c r="B175">
        <v>11</v>
      </c>
      <c r="C175">
        <v>706</v>
      </c>
      <c r="D175">
        <v>600</v>
      </c>
      <c r="E175">
        <v>169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 x14ac:dyDescent="0.3">
      <c r="A176">
        <v>92</v>
      </c>
      <c r="B176">
        <v>0</v>
      </c>
      <c r="C176">
        <v>950</v>
      </c>
      <c r="D176">
        <v>389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 x14ac:dyDescent="0.3">
      <c r="A177">
        <v>93</v>
      </c>
      <c r="B177">
        <v>5</v>
      </c>
      <c r="C177">
        <v>835</v>
      </c>
      <c r="D177">
        <v>505</v>
      </c>
      <c r="E177">
        <v>71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 x14ac:dyDescent="0.3">
      <c r="A178">
        <v>94</v>
      </c>
      <c r="B178">
        <v>4</v>
      </c>
      <c r="C178">
        <v>863</v>
      </c>
      <c r="D178">
        <v>493</v>
      </c>
      <c r="E178">
        <v>58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3">
      <c r="A179">
        <v>95</v>
      </c>
      <c r="B179">
        <v>12</v>
      </c>
      <c r="C179">
        <v>748</v>
      </c>
      <c r="D179">
        <v>596</v>
      </c>
      <c r="E179">
        <v>250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3">
      <c r="A180">
        <v>96</v>
      </c>
      <c r="B180">
        <v>6</v>
      </c>
      <c r="C180">
        <v>841</v>
      </c>
      <c r="D180">
        <v>513</v>
      </c>
      <c r="E180">
        <v>116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3">
      <c r="A181">
        <v>99</v>
      </c>
      <c r="B181">
        <v>15</v>
      </c>
      <c r="C181">
        <v>711</v>
      </c>
      <c r="D181">
        <v>658</v>
      </c>
      <c r="E181">
        <v>288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 x14ac:dyDescent="0.3">
      <c r="A182">
        <v>5</v>
      </c>
      <c r="B182">
        <v>555</v>
      </c>
      <c r="C182">
        <v>991</v>
      </c>
      <c r="D182">
        <v>8890</v>
      </c>
      <c r="E182">
        <v>19839</v>
      </c>
      <c r="F182">
        <v>3652</v>
      </c>
      <c r="G182">
        <v>627</v>
      </c>
      <c r="H182">
        <v>991</v>
      </c>
      <c r="I182">
        <v>0</v>
      </c>
      <c r="J182">
        <v>162</v>
      </c>
      <c r="K182">
        <v>12617</v>
      </c>
      <c r="L182">
        <v>2802</v>
      </c>
      <c r="M182">
        <v>23</v>
      </c>
    </row>
    <row r="183" spans="1:13" x14ac:dyDescent="0.3">
      <c r="A183">
        <v>75</v>
      </c>
      <c r="B183">
        <v>599</v>
      </c>
      <c r="C183">
        <v>996</v>
      </c>
      <c r="D183">
        <v>9407</v>
      </c>
      <c r="E183">
        <v>21195</v>
      </c>
      <c r="F183">
        <v>3625</v>
      </c>
      <c r="G183">
        <v>477</v>
      </c>
      <c r="H183">
        <v>996</v>
      </c>
      <c r="I183">
        <v>27</v>
      </c>
      <c r="J183">
        <v>162</v>
      </c>
      <c r="K183">
        <v>9590</v>
      </c>
      <c r="L183">
        <v>1919</v>
      </c>
      <c r="M183">
        <v>18</v>
      </c>
    </row>
    <row r="184" spans="1:13" x14ac:dyDescent="0.3">
      <c r="A184">
        <v>44</v>
      </c>
      <c r="B184">
        <v>503</v>
      </c>
      <c r="C184">
        <v>997</v>
      </c>
      <c r="D184">
        <v>8063</v>
      </c>
      <c r="E184">
        <v>18090</v>
      </c>
      <c r="F184">
        <v>2985</v>
      </c>
      <c r="G184">
        <v>947</v>
      </c>
      <c r="H184">
        <v>997</v>
      </c>
      <c r="I184">
        <v>12</v>
      </c>
      <c r="J184">
        <v>250</v>
      </c>
      <c r="K184">
        <v>19990</v>
      </c>
      <c r="L184">
        <v>4629</v>
      </c>
      <c r="M184">
        <v>35.299999999999997</v>
      </c>
    </row>
    <row r="185" spans="1:13" x14ac:dyDescent="0.3">
      <c r="A185">
        <v>97</v>
      </c>
      <c r="B185">
        <v>546</v>
      </c>
      <c r="C185">
        <v>999</v>
      </c>
      <c r="D185">
        <v>8848</v>
      </c>
      <c r="E185">
        <v>19854</v>
      </c>
      <c r="F185">
        <v>3696</v>
      </c>
      <c r="G185">
        <v>976</v>
      </c>
      <c r="H185">
        <v>999</v>
      </c>
      <c r="I185">
        <v>22</v>
      </c>
      <c r="J185">
        <v>578</v>
      </c>
      <c r="K185">
        <v>114090</v>
      </c>
      <c r="L185">
        <v>23304</v>
      </c>
      <c r="M185">
        <v>88.1</v>
      </c>
    </row>
    <row r="186" spans="1:13" x14ac:dyDescent="0.3">
      <c r="A186">
        <v>6</v>
      </c>
      <c r="B186">
        <v>610</v>
      </c>
      <c r="C186">
        <v>1000</v>
      </c>
      <c r="D186">
        <v>9869</v>
      </c>
      <c r="E186">
        <v>22292</v>
      </c>
      <c r="F186">
        <v>4197</v>
      </c>
      <c r="G186">
        <v>1000</v>
      </c>
      <c r="H186">
        <v>1000</v>
      </c>
      <c r="I186">
        <v>22</v>
      </c>
      <c r="J186">
        <v>635</v>
      </c>
      <c r="K186">
        <v>75392</v>
      </c>
      <c r="L186">
        <v>18578</v>
      </c>
      <c r="M186">
        <v>72.2</v>
      </c>
    </row>
    <row r="187" spans="1:13" x14ac:dyDescent="0.3">
      <c r="A187">
        <v>8</v>
      </c>
      <c r="B187">
        <v>765</v>
      </c>
      <c r="C187">
        <v>1000</v>
      </c>
      <c r="D187">
        <v>12064</v>
      </c>
      <c r="E187">
        <v>27625</v>
      </c>
      <c r="F187">
        <v>5090</v>
      </c>
      <c r="G187">
        <v>221</v>
      </c>
      <c r="H187">
        <v>1000</v>
      </c>
      <c r="I187">
        <v>0</v>
      </c>
      <c r="J187">
        <v>0</v>
      </c>
      <c r="K187">
        <v>1955</v>
      </c>
      <c r="L187">
        <v>550</v>
      </c>
      <c r="M187">
        <v>5.0999999999999996</v>
      </c>
    </row>
    <row r="188" spans="1:13" x14ac:dyDescent="0.3">
      <c r="A188">
        <v>10</v>
      </c>
      <c r="B188">
        <v>739</v>
      </c>
      <c r="C188">
        <v>1000</v>
      </c>
      <c r="D188">
        <v>11670</v>
      </c>
      <c r="E188">
        <v>26680</v>
      </c>
      <c r="F188">
        <v>4727</v>
      </c>
      <c r="G188">
        <v>892</v>
      </c>
      <c r="H188">
        <v>1000</v>
      </c>
      <c r="I188">
        <v>0</v>
      </c>
      <c r="J188">
        <v>51</v>
      </c>
      <c r="K188">
        <v>8748</v>
      </c>
      <c r="L188">
        <v>2933</v>
      </c>
      <c r="M188">
        <v>11.8</v>
      </c>
    </row>
    <row r="189" spans="1:13" x14ac:dyDescent="0.3">
      <c r="A189">
        <v>14</v>
      </c>
      <c r="B189">
        <v>607</v>
      </c>
      <c r="C189">
        <v>1000</v>
      </c>
      <c r="D189">
        <v>9403</v>
      </c>
      <c r="E189">
        <v>21199</v>
      </c>
      <c r="F189">
        <v>3590</v>
      </c>
      <c r="G189">
        <v>695</v>
      </c>
      <c r="H189">
        <v>1000</v>
      </c>
      <c r="I189">
        <v>24</v>
      </c>
      <c r="J189">
        <v>83</v>
      </c>
      <c r="K189">
        <v>30823</v>
      </c>
      <c r="L189">
        <v>5974</v>
      </c>
      <c r="M189">
        <v>39.299999999999997</v>
      </c>
    </row>
    <row r="190" spans="1:13" x14ac:dyDescent="0.3">
      <c r="A190">
        <v>23</v>
      </c>
      <c r="B190">
        <v>610</v>
      </c>
      <c r="C190">
        <v>1000</v>
      </c>
      <c r="D190">
        <v>9582</v>
      </c>
      <c r="E190">
        <v>21529</v>
      </c>
      <c r="F190">
        <v>3455</v>
      </c>
      <c r="G190">
        <v>879</v>
      </c>
      <c r="H190">
        <v>1000</v>
      </c>
      <c r="I190">
        <v>9</v>
      </c>
      <c r="J190">
        <v>353</v>
      </c>
      <c r="K190">
        <v>59347</v>
      </c>
      <c r="L190">
        <v>14035</v>
      </c>
      <c r="M190">
        <v>66</v>
      </c>
    </row>
    <row r="191" spans="1:13" x14ac:dyDescent="0.3">
      <c r="A191">
        <v>25</v>
      </c>
      <c r="B191">
        <v>632</v>
      </c>
      <c r="C191">
        <v>1000</v>
      </c>
      <c r="D191">
        <v>9724</v>
      </c>
      <c r="E191">
        <v>22206</v>
      </c>
      <c r="F191">
        <v>3583</v>
      </c>
      <c r="G191">
        <v>650</v>
      </c>
      <c r="H191">
        <v>1000</v>
      </c>
      <c r="I191">
        <v>0</v>
      </c>
      <c r="J191">
        <v>25</v>
      </c>
      <c r="K191">
        <v>15637</v>
      </c>
      <c r="L191">
        <v>3280</v>
      </c>
      <c r="M191">
        <v>26</v>
      </c>
    </row>
    <row r="192" spans="1:13" x14ac:dyDescent="0.3">
      <c r="A192">
        <v>37</v>
      </c>
      <c r="B192">
        <v>583</v>
      </c>
      <c r="C192">
        <v>1000</v>
      </c>
      <c r="D192">
        <v>9404</v>
      </c>
      <c r="E192">
        <v>21039</v>
      </c>
      <c r="F192">
        <v>3923</v>
      </c>
      <c r="G192">
        <v>845</v>
      </c>
      <c r="H192">
        <v>1000</v>
      </c>
      <c r="I192">
        <v>0</v>
      </c>
      <c r="J192">
        <v>51</v>
      </c>
      <c r="K192">
        <v>17645</v>
      </c>
      <c r="L192">
        <v>3622</v>
      </c>
      <c r="M192">
        <v>27.5</v>
      </c>
    </row>
    <row r="193" spans="1:13" x14ac:dyDescent="0.3">
      <c r="A193">
        <v>38</v>
      </c>
      <c r="B193">
        <v>529</v>
      </c>
      <c r="C193">
        <v>1000</v>
      </c>
      <c r="D193">
        <v>8123</v>
      </c>
      <c r="E193">
        <v>18257</v>
      </c>
      <c r="F193">
        <v>2812</v>
      </c>
      <c r="G193">
        <v>971</v>
      </c>
      <c r="H193">
        <v>1000</v>
      </c>
      <c r="I193">
        <v>39</v>
      </c>
      <c r="J193">
        <v>230</v>
      </c>
      <c r="K193">
        <v>47338</v>
      </c>
      <c r="L193">
        <v>10328</v>
      </c>
      <c r="M193">
        <v>64.5</v>
      </c>
    </row>
    <row r="194" spans="1:13" x14ac:dyDescent="0.3">
      <c r="A194">
        <v>47</v>
      </c>
      <c r="B194">
        <v>685</v>
      </c>
      <c r="C194">
        <v>1000</v>
      </c>
      <c r="D194">
        <v>10998</v>
      </c>
      <c r="E194">
        <v>25091</v>
      </c>
      <c r="F194">
        <v>4701</v>
      </c>
      <c r="G194">
        <v>796</v>
      </c>
      <c r="H194">
        <v>1000</v>
      </c>
      <c r="I194">
        <v>0</v>
      </c>
      <c r="J194">
        <v>83</v>
      </c>
      <c r="K194">
        <v>16349</v>
      </c>
      <c r="L194">
        <v>3526</v>
      </c>
      <c r="M194">
        <v>23</v>
      </c>
    </row>
    <row r="195" spans="1:13" x14ac:dyDescent="0.3">
      <c r="A195">
        <v>48</v>
      </c>
      <c r="B195">
        <v>662</v>
      </c>
      <c r="C195">
        <v>1000</v>
      </c>
      <c r="D195">
        <v>10347</v>
      </c>
      <c r="E195">
        <v>23435</v>
      </c>
      <c r="F195">
        <v>4019</v>
      </c>
      <c r="G195">
        <v>521</v>
      </c>
      <c r="H195">
        <v>1000</v>
      </c>
      <c r="I195">
        <v>0</v>
      </c>
      <c r="J195">
        <v>48</v>
      </c>
      <c r="K195">
        <v>19815</v>
      </c>
      <c r="L195">
        <v>5269</v>
      </c>
      <c r="M195">
        <v>29</v>
      </c>
    </row>
    <row r="196" spans="1:13" x14ac:dyDescent="0.3">
      <c r="A196">
        <v>52</v>
      </c>
      <c r="B196">
        <v>637</v>
      </c>
      <c r="C196">
        <v>1000</v>
      </c>
      <c r="D196">
        <v>9877</v>
      </c>
      <c r="E196">
        <v>22230</v>
      </c>
      <c r="F196">
        <v>3682</v>
      </c>
      <c r="G196">
        <v>613</v>
      </c>
      <c r="H196">
        <v>1000</v>
      </c>
      <c r="I196">
        <v>0</v>
      </c>
      <c r="J196">
        <v>82</v>
      </c>
      <c r="K196">
        <v>7400</v>
      </c>
      <c r="L196">
        <v>1513</v>
      </c>
      <c r="M196">
        <v>18.8</v>
      </c>
    </row>
    <row r="197" spans="1:13" x14ac:dyDescent="0.3">
      <c r="A197">
        <v>54</v>
      </c>
      <c r="B197">
        <v>446</v>
      </c>
      <c r="C197">
        <v>1000</v>
      </c>
      <c r="D197">
        <v>7121</v>
      </c>
      <c r="E197">
        <v>15844</v>
      </c>
      <c r="F197">
        <v>2831</v>
      </c>
      <c r="G197">
        <v>900</v>
      </c>
      <c r="H197">
        <v>1000</v>
      </c>
      <c r="I197">
        <v>0</v>
      </c>
      <c r="J197">
        <v>355</v>
      </c>
      <c r="K197">
        <v>40135</v>
      </c>
      <c r="L197">
        <v>7028</v>
      </c>
      <c r="M197">
        <v>62.3</v>
      </c>
    </row>
    <row r="198" spans="1:13" x14ac:dyDescent="0.3">
      <c r="A198">
        <v>57</v>
      </c>
      <c r="B198">
        <v>1507</v>
      </c>
      <c r="C198">
        <v>1000</v>
      </c>
      <c r="D198">
        <v>23925</v>
      </c>
      <c r="E198">
        <v>56005</v>
      </c>
      <c r="F198">
        <v>10556</v>
      </c>
      <c r="G198">
        <v>100</v>
      </c>
      <c r="H198">
        <v>1000</v>
      </c>
      <c r="I198">
        <v>0</v>
      </c>
      <c r="J198">
        <v>2</v>
      </c>
      <c r="K198">
        <v>187</v>
      </c>
      <c r="L198">
        <v>133</v>
      </c>
      <c r="M198">
        <v>1.4</v>
      </c>
    </row>
    <row r="199" spans="1:13" x14ac:dyDescent="0.3">
      <c r="A199">
        <v>59</v>
      </c>
      <c r="B199">
        <v>527</v>
      </c>
      <c r="C199">
        <v>1000</v>
      </c>
      <c r="D199">
        <v>8335</v>
      </c>
      <c r="E199">
        <v>18711</v>
      </c>
      <c r="F199">
        <v>3160</v>
      </c>
      <c r="G199">
        <v>765</v>
      </c>
      <c r="H199">
        <v>1000</v>
      </c>
      <c r="I199">
        <v>36</v>
      </c>
      <c r="J199">
        <v>443</v>
      </c>
      <c r="K199">
        <v>46696</v>
      </c>
      <c r="L199">
        <v>10153</v>
      </c>
      <c r="M199">
        <v>69.099999999999994</v>
      </c>
    </row>
    <row r="200" spans="1:13" x14ac:dyDescent="0.3">
      <c r="A200">
        <v>82</v>
      </c>
      <c r="B200">
        <v>3734</v>
      </c>
      <c r="C200">
        <v>1000</v>
      </c>
      <c r="D200">
        <v>59526</v>
      </c>
      <c r="E200">
        <v>141247</v>
      </c>
      <c r="F200">
        <v>28151</v>
      </c>
      <c r="G200">
        <v>508</v>
      </c>
      <c r="H200">
        <v>1000</v>
      </c>
      <c r="I200">
        <v>0</v>
      </c>
      <c r="J200">
        <v>0</v>
      </c>
      <c r="K200">
        <v>784</v>
      </c>
      <c r="L200">
        <v>727</v>
      </c>
      <c r="M200">
        <v>1.4</v>
      </c>
    </row>
    <row r="201" spans="1:13" x14ac:dyDescent="0.3">
      <c r="A201">
        <v>90</v>
      </c>
      <c r="B201">
        <v>859</v>
      </c>
      <c r="C201">
        <v>1000</v>
      </c>
      <c r="D201">
        <v>13627</v>
      </c>
      <c r="E201">
        <v>31292</v>
      </c>
      <c r="F201">
        <v>5633</v>
      </c>
      <c r="G201">
        <v>779</v>
      </c>
      <c r="H201">
        <v>1000</v>
      </c>
      <c r="I201">
        <v>40</v>
      </c>
      <c r="J201">
        <v>266</v>
      </c>
      <c r="K201">
        <v>34702</v>
      </c>
      <c r="L201">
        <v>9238</v>
      </c>
      <c r="M201">
        <v>42.7</v>
      </c>
    </row>
    <row r="202" spans="1:13" x14ac:dyDescent="0.3">
      <c r="A202">
        <v>98</v>
      </c>
      <c r="B202">
        <v>844</v>
      </c>
      <c r="C202">
        <v>1000</v>
      </c>
      <c r="D202">
        <v>13126</v>
      </c>
      <c r="E202">
        <v>30249</v>
      </c>
      <c r="F202">
        <v>5159</v>
      </c>
      <c r="G202">
        <v>801</v>
      </c>
      <c r="H202">
        <v>1000</v>
      </c>
      <c r="I202">
        <v>0</v>
      </c>
      <c r="J202">
        <v>113</v>
      </c>
      <c r="K202">
        <v>12762</v>
      </c>
      <c r="L202">
        <v>3499</v>
      </c>
      <c r="M202">
        <v>13</v>
      </c>
    </row>
    <row r="203" spans="1:13" x14ac:dyDescent="0.3">
      <c r="A203">
        <v>100</v>
      </c>
      <c r="B203">
        <v>860</v>
      </c>
      <c r="C203">
        <v>1000</v>
      </c>
      <c r="D203">
        <v>13614</v>
      </c>
      <c r="E203">
        <v>31258</v>
      </c>
      <c r="F203">
        <v>5611</v>
      </c>
      <c r="G203">
        <v>984</v>
      </c>
      <c r="H203">
        <v>1000</v>
      </c>
      <c r="I203">
        <v>0</v>
      </c>
      <c r="J203">
        <v>222</v>
      </c>
      <c r="K203">
        <v>35603</v>
      </c>
      <c r="L203">
        <v>11614</v>
      </c>
      <c r="M203">
        <v>37.1</v>
      </c>
    </row>
    <row r="205" spans="1:13" x14ac:dyDescent="0.3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6</v>
      </c>
      <c r="G205" t="s">
        <v>7</v>
      </c>
      <c r="H205" t="s">
        <v>8</v>
      </c>
      <c r="I205" t="s">
        <v>9</v>
      </c>
      <c r="J205" t="s">
        <v>11</v>
      </c>
      <c r="K205" t="s">
        <v>12</v>
      </c>
      <c r="L205" t="s">
        <v>13</v>
      </c>
      <c r="M205" t="s">
        <v>16</v>
      </c>
    </row>
    <row r="206" spans="1:13" x14ac:dyDescent="0.3">
      <c r="A206">
        <v>4</v>
      </c>
      <c r="B206">
        <v>843</v>
      </c>
      <c r="C206">
        <v>2000</v>
      </c>
      <c r="D206">
        <v>28158</v>
      </c>
      <c r="E206">
        <v>64621</v>
      </c>
      <c r="F206">
        <v>13070</v>
      </c>
      <c r="G206">
        <v>36</v>
      </c>
      <c r="H206">
        <v>2000</v>
      </c>
      <c r="I206">
        <v>0</v>
      </c>
      <c r="J206">
        <v>0</v>
      </c>
      <c r="K206">
        <v>87</v>
      </c>
      <c r="L206">
        <v>36</v>
      </c>
      <c r="M206">
        <v>0.1</v>
      </c>
    </row>
    <row r="207" spans="1:13" x14ac:dyDescent="0.3">
      <c r="A207">
        <v>12</v>
      </c>
      <c r="B207">
        <v>560</v>
      </c>
      <c r="C207">
        <v>2000</v>
      </c>
      <c r="D207">
        <v>18926</v>
      </c>
      <c r="E207">
        <v>42170</v>
      </c>
      <c r="F207">
        <v>8420</v>
      </c>
      <c r="G207">
        <v>1256</v>
      </c>
      <c r="H207">
        <v>2000</v>
      </c>
      <c r="I207">
        <v>0</v>
      </c>
      <c r="J207">
        <v>161</v>
      </c>
      <c r="K207">
        <v>12722</v>
      </c>
      <c r="L207">
        <v>2979</v>
      </c>
      <c r="M207">
        <v>21.4</v>
      </c>
    </row>
    <row r="208" spans="1:13" x14ac:dyDescent="0.3">
      <c r="A208">
        <v>13</v>
      </c>
      <c r="B208">
        <v>662</v>
      </c>
      <c r="C208">
        <v>2000</v>
      </c>
      <c r="D208">
        <v>21821</v>
      </c>
      <c r="E208">
        <v>49813</v>
      </c>
      <c r="F208">
        <v>9894</v>
      </c>
      <c r="G208">
        <v>990</v>
      </c>
      <c r="H208">
        <v>2000</v>
      </c>
      <c r="I208">
        <v>0</v>
      </c>
      <c r="J208">
        <v>11</v>
      </c>
      <c r="K208">
        <v>7501</v>
      </c>
      <c r="L208">
        <v>1877</v>
      </c>
      <c r="M208">
        <v>12.7</v>
      </c>
    </row>
    <row r="209" spans="1:13" x14ac:dyDescent="0.3">
      <c r="A209">
        <v>16</v>
      </c>
      <c r="B209">
        <v>719</v>
      </c>
      <c r="C209">
        <v>2000</v>
      </c>
      <c r="D209">
        <v>23958</v>
      </c>
      <c r="E209">
        <v>54396</v>
      </c>
      <c r="F209">
        <v>10683</v>
      </c>
      <c r="G209">
        <v>632</v>
      </c>
      <c r="H209">
        <v>2000</v>
      </c>
      <c r="I209">
        <v>3</v>
      </c>
      <c r="J209">
        <v>38</v>
      </c>
      <c r="K209">
        <v>6089</v>
      </c>
      <c r="L209">
        <v>1507</v>
      </c>
      <c r="M209">
        <v>15.1</v>
      </c>
    </row>
    <row r="210" spans="1:13" x14ac:dyDescent="0.3">
      <c r="A210">
        <v>17</v>
      </c>
      <c r="B210">
        <v>522</v>
      </c>
      <c r="C210">
        <v>2000</v>
      </c>
      <c r="D210">
        <v>17314</v>
      </c>
      <c r="E210">
        <v>38891</v>
      </c>
      <c r="F210">
        <v>7270</v>
      </c>
      <c r="G210">
        <v>1521</v>
      </c>
      <c r="H210">
        <v>2000</v>
      </c>
      <c r="I210">
        <v>0</v>
      </c>
      <c r="J210">
        <v>147</v>
      </c>
      <c r="K210">
        <v>32999</v>
      </c>
      <c r="L210">
        <v>6293</v>
      </c>
      <c r="M210">
        <v>42.3</v>
      </c>
    </row>
    <row r="211" spans="1:13" x14ac:dyDescent="0.3">
      <c r="A211">
        <v>19</v>
      </c>
      <c r="B211">
        <v>616</v>
      </c>
      <c r="C211">
        <v>2000</v>
      </c>
      <c r="D211">
        <v>20704</v>
      </c>
      <c r="E211">
        <v>46772</v>
      </c>
      <c r="F211">
        <v>9459</v>
      </c>
      <c r="G211">
        <v>801</v>
      </c>
      <c r="H211">
        <v>2000</v>
      </c>
      <c r="I211">
        <v>0</v>
      </c>
      <c r="J211">
        <v>63</v>
      </c>
      <c r="K211">
        <v>8955</v>
      </c>
      <c r="L211">
        <v>2252</v>
      </c>
      <c r="M211">
        <v>16.600000000000001</v>
      </c>
    </row>
    <row r="212" spans="1:13" x14ac:dyDescent="0.3">
      <c r="A212">
        <v>25</v>
      </c>
      <c r="B212">
        <v>591</v>
      </c>
      <c r="C212">
        <v>2000</v>
      </c>
      <c r="D212">
        <v>19567</v>
      </c>
      <c r="E212">
        <v>44014</v>
      </c>
      <c r="F212">
        <v>8724</v>
      </c>
      <c r="G212">
        <v>1259</v>
      </c>
      <c r="H212">
        <v>2000</v>
      </c>
      <c r="I212">
        <v>28</v>
      </c>
      <c r="J212">
        <v>66</v>
      </c>
      <c r="K212">
        <v>16278</v>
      </c>
      <c r="L212">
        <v>4458</v>
      </c>
      <c r="M212">
        <v>27.8</v>
      </c>
    </row>
    <row r="213" spans="1:13" x14ac:dyDescent="0.3">
      <c r="A213">
        <v>28</v>
      </c>
      <c r="B213">
        <v>527</v>
      </c>
      <c r="C213">
        <v>2000</v>
      </c>
      <c r="D213">
        <v>17527</v>
      </c>
      <c r="E213">
        <v>39254</v>
      </c>
      <c r="F213">
        <v>7290</v>
      </c>
      <c r="G213">
        <v>1294</v>
      </c>
      <c r="H213">
        <v>2000</v>
      </c>
      <c r="I213">
        <v>0</v>
      </c>
      <c r="J213">
        <v>67</v>
      </c>
      <c r="K213">
        <v>17402</v>
      </c>
      <c r="L213">
        <v>4459</v>
      </c>
      <c r="M213">
        <v>34.9</v>
      </c>
    </row>
    <row r="214" spans="1:13" x14ac:dyDescent="0.3">
      <c r="A214">
        <v>36</v>
      </c>
      <c r="B214">
        <v>630</v>
      </c>
      <c r="C214">
        <v>2000</v>
      </c>
      <c r="D214">
        <v>20941</v>
      </c>
      <c r="E214">
        <v>47205</v>
      </c>
      <c r="F214">
        <v>9011</v>
      </c>
      <c r="G214">
        <v>1243</v>
      </c>
      <c r="H214">
        <v>2000</v>
      </c>
      <c r="I214">
        <v>12</v>
      </c>
      <c r="J214">
        <v>94</v>
      </c>
      <c r="K214">
        <v>11160</v>
      </c>
      <c r="L214">
        <v>3532</v>
      </c>
      <c r="M214">
        <v>23.9</v>
      </c>
    </row>
    <row r="215" spans="1:13" x14ac:dyDescent="0.3">
      <c r="A215">
        <v>38</v>
      </c>
      <c r="B215">
        <v>741</v>
      </c>
      <c r="C215">
        <v>2000</v>
      </c>
      <c r="D215">
        <v>24368</v>
      </c>
      <c r="E215">
        <v>55980</v>
      </c>
      <c r="F215">
        <v>11168</v>
      </c>
      <c r="G215">
        <v>972</v>
      </c>
      <c r="H215">
        <v>2000</v>
      </c>
      <c r="I215">
        <v>0</v>
      </c>
      <c r="J215">
        <v>148</v>
      </c>
      <c r="K215">
        <v>6169</v>
      </c>
      <c r="L215">
        <v>2002</v>
      </c>
      <c r="M215">
        <v>8.4</v>
      </c>
    </row>
    <row r="216" spans="1:13" x14ac:dyDescent="0.3">
      <c r="A216">
        <v>39</v>
      </c>
      <c r="B216">
        <v>583</v>
      </c>
      <c r="C216">
        <v>2000</v>
      </c>
      <c r="D216">
        <v>19374</v>
      </c>
      <c r="E216">
        <v>43963</v>
      </c>
      <c r="F216">
        <v>8951</v>
      </c>
      <c r="G216">
        <v>1349</v>
      </c>
      <c r="H216">
        <v>2000</v>
      </c>
      <c r="I216">
        <v>0</v>
      </c>
      <c r="J216">
        <v>253</v>
      </c>
      <c r="K216">
        <v>31718</v>
      </c>
      <c r="L216">
        <v>6955</v>
      </c>
      <c r="M216">
        <v>48.4</v>
      </c>
    </row>
    <row r="217" spans="1:13" x14ac:dyDescent="0.3">
      <c r="A217">
        <v>52</v>
      </c>
      <c r="B217">
        <v>544</v>
      </c>
      <c r="C217">
        <v>2000</v>
      </c>
      <c r="D217">
        <v>18144</v>
      </c>
      <c r="E217">
        <v>40862</v>
      </c>
      <c r="F217">
        <v>8226</v>
      </c>
      <c r="G217">
        <v>1187</v>
      </c>
      <c r="H217">
        <v>2000</v>
      </c>
      <c r="I217">
        <v>0</v>
      </c>
      <c r="J217">
        <v>63</v>
      </c>
      <c r="K217">
        <v>8851</v>
      </c>
      <c r="L217">
        <v>2240</v>
      </c>
      <c r="M217">
        <v>17.399999999999999</v>
      </c>
    </row>
    <row r="218" spans="1:13" x14ac:dyDescent="0.3">
      <c r="A218">
        <v>53</v>
      </c>
      <c r="B218">
        <v>698</v>
      </c>
      <c r="C218">
        <v>2000</v>
      </c>
      <c r="D218">
        <v>23338</v>
      </c>
      <c r="E218">
        <v>52792</v>
      </c>
      <c r="F218">
        <v>10062</v>
      </c>
      <c r="G218">
        <v>746</v>
      </c>
      <c r="H218">
        <v>2000</v>
      </c>
      <c r="I218">
        <v>0</v>
      </c>
      <c r="J218">
        <v>20</v>
      </c>
      <c r="K218">
        <v>5807</v>
      </c>
      <c r="L218">
        <v>1581</v>
      </c>
      <c r="M218">
        <v>9.6999999999999993</v>
      </c>
    </row>
    <row r="219" spans="1:13" x14ac:dyDescent="0.3">
      <c r="A219">
        <v>55</v>
      </c>
      <c r="B219">
        <v>654</v>
      </c>
      <c r="C219">
        <v>2000</v>
      </c>
      <c r="D219">
        <v>21966</v>
      </c>
      <c r="E219">
        <v>49791</v>
      </c>
      <c r="F219">
        <v>9850</v>
      </c>
      <c r="G219">
        <v>1385</v>
      </c>
      <c r="H219">
        <v>2000</v>
      </c>
      <c r="I219">
        <v>0</v>
      </c>
      <c r="J219">
        <v>122</v>
      </c>
      <c r="K219">
        <v>18239</v>
      </c>
      <c r="L219">
        <v>4407</v>
      </c>
      <c r="M219">
        <v>24.5</v>
      </c>
    </row>
    <row r="220" spans="1:13" x14ac:dyDescent="0.3">
      <c r="A220">
        <v>61</v>
      </c>
      <c r="B220">
        <v>582</v>
      </c>
      <c r="C220">
        <v>2000</v>
      </c>
      <c r="D220">
        <v>19216</v>
      </c>
      <c r="E220">
        <v>43418</v>
      </c>
      <c r="F220">
        <v>8383</v>
      </c>
      <c r="G220">
        <v>649</v>
      </c>
      <c r="H220">
        <v>2000</v>
      </c>
      <c r="I220">
        <v>0</v>
      </c>
      <c r="J220">
        <v>21</v>
      </c>
      <c r="K220">
        <v>7263</v>
      </c>
      <c r="L220">
        <v>1460</v>
      </c>
      <c r="M220">
        <v>18.600000000000001</v>
      </c>
    </row>
    <row r="221" spans="1:13" x14ac:dyDescent="0.3">
      <c r="A221">
        <v>62</v>
      </c>
      <c r="B221">
        <v>495</v>
      </c>
      <c r="C221">
        <v>2000</v>
      </c>
      <c r="D221">
        <v>16447</v>
      </c>
      <c r="E221">
        <v>36885</v>
      </c>
      <c r="F221">
        <v>7044</v>
      </c>
      <c r="G221">
        <v>1587</v>
      </c>
      <c r="H221">
        <v>2000</v>
      </c>
      <c r="I221">
        <v>0</v>
      </c>
      <c r="J221">
        <v>160</v>
      </c>
      <c r="K221">
        <v>23811</v>
      </c>
      <c r="L221">
        <v>4891</v>
      </c>
      <c r="M221">
        <v>46</v>
      </c>
    </row>
    <row r="222" spans="1:13" x14ac:dyDescent="0.3">
      <c r="A222">
        <v>68</v>
      </c>
      <c r="B222">
        <v>549</v>
      </c>
      <c r="C222">
        <v>2000</v>
      </c>
      <c r="D222">
        <v>18136</v>
      </c>
      <c r="E222">
        <v>40795</v>
      </c>
      <c r="F222">
        <v>7796</v>
      </c>
      <c r="G222">
        <v>1791</v>
      </c>
      <c r="H222">
        <v>2000</v>
      </c>
      <c r="I222">
        <v>0</v>
      </c>
      <c r="J222">
        <v>627</v>
      </c>
      <c r="K222">
        <v>50013</v>
      </c>
      <c r="L222">
        <v>10449</v>
      </c>
      <c r="M222">
        <v>69</v>
      </c>
    </row>
    <row r="223" spans="1:13" x14ac:dyDescent="0.3">
      <c r="A223">
        <v>74</v>
      </c>
      <c r="B223">
        <v>563</v>
      </c>
      <c r="C223">
        <v>2000</v>
      </c>
      <c r="D223">
        <v>18786</v>
      </c>
      <c r="E223">
        <v>42085</v>
      </c>
      <c r="F223">
        <v>8045</v>
      </c>
      <c r="G223">
        <v>1116</v>
      </c>
      <c r="H223">
        <v>2000</v>
      </c>
      <c r="I223">
        <v>0</v>
      </c>
      <c r="J223">
        <v>206</v>
      </c>
      <c r="K223">
        <v>13010</v>
      </c>
      <c r="L223">
        <v>3007</v>
      </c>
      <c r="M223">
        <v>22.6</v>
      </c>
    </row>
    <row r="224" spans="1:13" x14ac:dyDescent="0.3">
      <c r="A224">
        <v>77</v>
      </c>
      <c r="B224">
        <v>523</v>
      </c>
      <c r="C224">
        <v>2000</v>
      </c>
      <c r="D224">
        <v>17385</v>
      </c>
      <c r="E224">
        <v>38723</v>
      </c>
      <c r="F224">
        <v>7474</v>
      </c>
      <c r="G224">
        <v>1635</v>
      </c>
      <c r="H224">
        <v>2000</v>
      </c>
      <c r="I224">
        <v>15</v>
      </c>
      <c r="J224">
        <v>390</v>
      </c>
      <c r="K224">
        <v>46425</v>
      </c>
      <c r="L224">
        <v>9880</v>
      </c>
      <c r="M224">
        <v>56.8</v>
      </c>
    </row>
    <row r="225" spans="1:13" x14ac:dyDescent="0.3">
      <c r="A225">
        <v>87</v>
      </c>
      <c r="B225">
        <v>633</v>
      </c>
      <c r="C225">
        <v>2000</v>
      </c>
      <c r="D225">
        <v>21159</v>
      </c>
      <c r="E225">
        <v>47845</v>
      </c>
      <c r="F225">
        <v>9775</v>
      </c>
      <c r="G225">
        <v>1062</v>
      </c>
      <c r="H225">
        <v>2000</v>
      </c>
      <c r="I225">
        <v>0</v>
      </c>
      <c r="J225">
        <v>115</v>
      </c>
      <c r="K225">
        <v>12314</v>
      </c>
      <c r="L225">
        <v>3492</v>
      </c>
      <c r="M225">
        <v>30.8</v>
      </c>
    </row>
    <row r="226" spans="1:13" x14ac:dyDescent="0.3">
      <c r="A226">
        <v>88</v>
      </c>
      <c r="B226">
        <v>589</v>
      </c>
      <c r="C226">
        <v>2000</v>
      </c>
      <c r="D226">
        <v>19597</v>
      </c>
      <c r="E226">
        <v>43896</v>
      </c>
      <c r="F226">
        <v>8261</v>
      </c>
      <c r="G226">
        <v>1169</v>
      </c>
      <c r="H226">
        <v>2000</v>
      </c>
      <c r="I226">
        <v>0</v>
      </c>
      <c r="J226">
        <v>90</v>
      </c>
      <c r="K226">
        <v>13408</v>
      </c>
      <c r="L226">
        <v>2809</v>
      </c>
      <c r="M226">
        <v>25.6</v>
      </c>
    </row>
    <row r="227" spans="1:13" x14ac:dyDescent="0.3">
      <c r="A227">
        <v>92</v>
      </c>
      <c r="B227">
        <v>518</v>
      </c>
      <c r="C227">
        <v>2000</v>
      </c>
      <c r="D227">
        <v>17337</v>
      </c>
      <c r="E227">
        <v>38603</v>
      </c>
      <c r="F227">
        <v>7391</v>
      </c>
      <c r="G227">
        <v>1617</v>
      </c>
      <c r="H227">
        <v>2000</v>
      </c>
      <c r="I227">
        <v>0</v>
      </c>
      <c r="J227">
        <v>271</v>
      </c>
      <c r="K227">
        <v>31985</v>
      </c>
      <c r="L227">
        <v>7178</v>
      </c>
      <c r="M227">
        <v>52.3</v>
      </c>
    </row>
    <row r="228" spans="1:13" x14ac:dyDescent="0.3">
      <c r="A228">
        <v>97</v>
      </c>
      <c r="B228">
        <v>512</v>
      </c>
      <c r="C228">
        <v>2000</v>
      </c>
      <c r="D228">
        <v>17034</v>
      </c>
      <c r="E228">
        <v>38372</v>
      </c>
      <c r="F228">
        <v>7648</v>
      </c>
      <c r="G228">
        <v>1237</v>
      </c>
      <c r="H228">
        <v>2000</v>
      </c>
      <c r="I228">
        <v>43</v>
      </c>
      <c r="J228">
        <v>47</v>
      </c>
      <c r="K228">
        <v>22943</v>
      </c>
      <c r="L228">
        <v>4351</v>
      </c>
      <c r="M228">
        <v>43.1</v>
      </c>
    </row>
    <row r="229" spans="1:13" x14ac:dyDescent="0.3">
      <c r="A229">
        <v>98</v>
      </c>
      <c r="B229">
        <v>554</v>
      </c>
      <c r="C229">
        <v>2000</v>
      </c>
      <c r="D229">
        <v>18288</v>
      </c>
      <c r="E229">
        <v>41472</v>
      </c>
      <c r="F229">
        <v>8114</v>
      </c>
      <c r="G229">
        <v>1076</v>
      </c>
      <c r="H229">
        <v>2000</v>
      </c>
      <c r="I229">
        <v>0</v>
      </c>
      <c r="J229">
        <v>64</v>
      </c>
      <c r="K229">
        <v>7536</v>
      </c>
      <c r="L229">
        <v>1859</v>
      </c>
      <c r="M229">
        <v>19.600000000000001</v>
      </c>
    </row>
    <row r="230" spans="1:13" x14ac:dyDescent="0.3">
      <c r="A230">
        <v>99</v>
      </c>
      <c r="B230">
        <v>681</v>
      </c>
      <c r="C230">
        <v>2000</v>
      </c>
      <c r="D230">
        <v>22493</v>
      </c>
      <c r="E230">
        <v>51006</v>
      </c>
      <c r="F230">
        <v>10171</v>
      </c>
      <c r="G230">
        <v>943</v>
      </c>
      <c r="H230">
        <v>2000</v>
      </c>
      <c r="I230">
        <v>5</v>
      </c>
      <c r="J230">
        <v>234</v>
      </c>
      <c r="K230">
        <v>22972</v>
      </c>
      <c r="L230">
        <v>6123</v>
      </c>
      <c r="M230">
        <v>32.1</v>
      </c>
    </row>
    <row r="231" spans="1:13" x14ac:dyDescent="0.3">
      <c r="A231">
        <v>1</v>
      </c>
      <c r="B231">
        <v>6</v>
      </c>
      <c r="C231">
        <v>1752</v>
      </c>
      <c r="D231">
        <v>1049</v>
      </c>
      <c r="E231">
        <v>274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 x14ac:dyDescent="0.3">
      <c r="A232">
        <v>2</v>
      </c>
      <c r="B232">
        <v>11</v>
      </c>
      <c r="C232">
        <v>1557</v>
      </c>
      <c r="D232">
        <v>1230</v>
      </c>
      <c r="E232">
        <v>483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 x14ac:dyDescent="0.3">
      <c r="A233">
        <v>3</v>
      </c>
      <c r="B233">
        <v>28</v>
      </c>
      <c r="C233">
        <v>1344</v>
      </c>
      <c r="D233">
        <v>1647</v>
      </c>
      <c r="E233">
        <v>1252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 x14ac:dyDescent="0.3">
      <c r="A234">
        <v>5</v>
      </c>
      <c r="B234">
        <v>7</v>
      </c>
      <c r="C234">
        <v>1695</v>
      </c>
      <c r="D234">
        <v>1106</v>
      </c>
      <c r="E234">
        <v>317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 x14ac:dyDescent="0.3">
      <c r="A235">
        <v>6</v>
      </c>
      <c r="B235">
        <v>11</v>
      </c>
      <c r="C235">
        <v>1595</v>
      </c>
      <c r="D235">
        <v>1237</v>
      </c>
      <c r="E235">
        <v>502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 x14ac:dyDescent="0.3">
      <c r="A236">
        <v>7</v>
      </c>
      <c r="B236">
        <v>25</v>
      </c>
      <c r="C236">
        <v>1382</v>
      </c>
      <c r="D236">
        <v>1543</v>
      </c>
      <c r="E236">
        <v>1099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 x14ac:dyDescent="0.3">
      <c r="A237">
        <v>8</v>
      </c>
      <c r="B237">
        <v>10</v>
      </c>
      <c r="C237">
        <v>1629</v>
      </c>
      <c r="D237">
        <v>1192</v>
      </c>
      <c r="E237">
        <v>451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 x14ac:dyDescent="0.3">
      <c r="A238">
        <v>9</v>
      </c>
      <c r="B238">
        <v>18</v>
      </c>
      <c r="C238">
        <v>1469</v>
      </c>
      <c r="D238">
        <v>1398</v>
      </c>
      <c r="E238">
        <v>849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 x14ac:dyDescent="0.3">
      <c r="A239">
        <v>10</v>
      </c>
      <c r="B239">
        <v>5</v>
      </c>
      <c r="C239">
        <v>1688</v>
      </c>
      <c r="D239">
        <v>1043</v>
      </c>
      <c r="E239">
        <v>144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 x14ac:dyDescent="0.3">
      <c r="A240">
        <v>11</v>
      </c>
      <c r="B240">
        <v>25</v>
      </c>
      <c r="C240">
        <v>1417</v>
      </c>
      <c r="D240">
        <v>1515</v>
      </c>
      <c r="E240">
        <v>1159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 x14ac:dyDescent="0.3">
      <c r="A241">
        <v>14</v>
      </c>
      <c r="B241">
        <v>4</v>
      </c>
      <c r="C241">
        <v>1763</v>
      </c>
      <c r="D241">
        <v>939</v>
      </c>
      <c r="E241">
        <v>162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 x14ac:dyDescent="0.3">
      <c r="A242">
        <v>15</v>
      </c>
      <c r="B242">
        <v>6</v>
      </c>
      <c r="C242">
        <v>1702</v>
      </c>
      <c r="D242">
        <v>1074</v>
      </c>
      <c r="E242">
        <v>244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 x14ac:dyDescent="0.3">
      <c r="A243">
        <v>18</v>
      </c>
      <c r="B243">
        <v>18</v>
      </c>
      <c r="C243">
        <v>1431</v>
      </c>
      <c r="D243">
        <v>1355</v>
      </c>
      <c r="E243">
        <v>800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 x14ac:dyDescent="0.3">
      <c r="A244">
        <v>20</v>
      </c>
      <c r="B244">
        <v>13</v>
      </c>
      <c r="C244">
        <v>1546</v>
      </c>
      <c r="D244">
        <v>1263</v>
      </c>
      <c r="E244">
        <v>581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 x14ac:dyDescent="0.3">
      <c r="A245">
        <v>21</v>
      </c>
      <c r="B245">
        <v>13</v>
      </c>
      <c r="C245">
        <v>1517</v>
      </c>
      <c r="D245">
        <v>1285</v>
      </c>
      <c r="E245">
        <v>535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 x14ac:dyDescent="0.3">
      <c r="A246">
        <v>22</v>
      </c>
      <c r="B246">
        <v>5</v>
      </c>
      <c r="C246">
        <v>1743</v>
      </c>
      <c r="D246">
        <v>1014</v>
      </c>
      <c r="E246">
        <v>168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 x14ac:dyDescent="0.3">
      <c r="A247">
        <v>23</v>
      </c>
      <c r="B247">
        <v>10</v>
      </c>
      <c r="C247">
        <v>1610</v>
      </c>
      <c r="D247">
        <v>1217</v>
      </c>
      <c r="E247">
        <v>429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 x14ac:dyDescent="0.3">
      <c r="A248">
        <v>24</v>
      </c>
      <c r="B248">
        <v>21</v>
      </c>
      <c r="C248">
        <v>1346</v>
      </c>
      <c r="D248">
        <v>1470</v>
      </c>
      <c r="E248">
        <v>845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 x14ac:dyDescent="0.3">
      <c r="A249">
        <v>26</v>
      </c>
      <c r="B249">
        <v>21</v>
      </c>
      <c r="C249">
        <v>1478</v>
      </c>
      <c r="D249">
        <v>1407</v>
      </c>
      <c r="E249">
        <v>1062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 x14ac:dyDescent="0.3">
      <c r="A250">
        <v>27</v>
      </c>
      <c r="B250">
        <v>4</v>
      </c>
      <c r="C250">
        <v>1784</v>
      </c>
      <c r="D250">
        <v>914</v>
      </c>
      <c r="E250">
        <v>129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 x14ac:dyDescent="0.3">
      <c r="A251">
        <v>29</v>
      </c>
      <c r="B251">
        <v>25</v>
      </c>
      <c r="C251">
        <v>1419</v>
      </c>
      <c r="D251">
        <v>1514</v>
      </c>
      <c r="E251">
        <v>1237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 x14ac:dyDescent="0.3">
      <c r="A252">
        <v>30</v>
      </c>
      <c r="B252">
        <v>48</v>
      </c>
      <c r="C252">
        <v>1469</v>
      </c>
      <c r="D252">
        <v>2107</v>
      </c>
      <c r="E252">
        <v>2324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 x14ac:dyDescent="0.3">
      <c r="A253">
        <v>31</v>
      </c>
      <c r="B253">
        <v>17</v>
      </c>
      <c r="C253">
        <v>1528</v>
      </c>
      <c r="D253">
        <v>1353</v>
      </c>
      <c r="E253">
        <v>821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 x14ac:dyDescent="0.3">
      <c r="A254">
        <v>32</v>
      </c>
      <c r="B254">
        <v>13</v>
      </c>
      <c r="C254">
        <v>1600</v>
      </c>
      <c r="D254">
        <v>1257</v>
      </c>
      <c r="E254">
        <v>611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 x14ac:dyDescent="0.3">
      <c r="A255">
        <v>33</v>
      </c>
      <c r="B255">
        <v>19</v>
      </c>
      <c r="C255">
        <v>1464</v>
      </c>
      <c r="D255">
        <v>1391</v>
      </c>
      <c r="E255">
        <v>896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 x14ac:dyDescent="0.3">
      <c r="A256">
        <v>34</v>
      </c>
      <c r="B256">
        <v>15</v>
      </c>
      <c r="C256">
        <v>1497</v>
      </c>
      <c r="D256">
        <v>1353</v>
      </c>
      <c r="E256">
        <v>719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 x14ac:dyDescent="0.3">
      <c r="A257">
        <v>35</v>
      </c>
      <c r="B257">
        <v>5</v>
      </c>
      <c r="C257">
        <v>1713</v>
      </c>
      <c r="D257">
        <v>1053</v>
      </c>
      <c r="E257">
        <v>174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 x14ac:dyDescent="0.3">
      <c r="A258">
        <v>37</v>
      </c>
      <c r="B258">
        <v>8</v>
      </c>
      <c r="C258">
        <v>1712</v>
      </c>
      <c r="D258">
        <v>1116</v>
      </c>
      <c r="E258">
        <v>388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 x14ac:dyDescent="0.3">
      <c r="A259">
        <v>40</v>
      </c>
      <c r="B259">
        <v>13</v>
      </c>
      <c r="C259">
        <v>1635</v>
      </c>
      <c r="D259">
        <v>1274</v>
      </c>
      <c r="E259">
        <v>692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 x14ac:dyDescent="0.3">
      <c r="A260">
        <v>41</v>
      </c>
      <c r="B260">
        <v>41</v>
      </c>
      <c r="C260">
        <v>1407</v>
      </c>
      <c r="D260">
        <v>1947</v>
      </c>
      <c r="E260">
        <v>1921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 x14ac:dyDescent="0.3">
      <c r="A261">
        <v>42</v>
      </c>
      <c r="B261">
        <v>35</v>
      </c>
      <c r="C261">
        <v>1269</v>
      </c>
      <c r="D261">
        <v>1793</v>
      </c>
      <c r="E261">
        <v>1462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 x14ac:dyDescent="0.3">
      <c r="A262">
        <v>43</v>
      </c>
      <c r="B262">
        <v>16</v>
      </c>
      <c r="C262">
        <v>1487</v>
      </c>
      <c r="D262">
        <v>1315</v>
      </c>
      <c r="E262">
        <v>706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3">
      <c r="A263">
        <v>44</v>
      </c>
      <c r="B263">
        <v>25</v>
      </c>
      <c r="C263">
        <v>1337</v>
      </c>
      <c r="D263">
        <v>1560</v>
      </c>
      <c r="E263">
        <v>1069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 x14ac:dyDescent="0.3">
      <c r="A264">
        <v>45</v>
      </c>
      <c r="B264">
        <v>16</v>
      </c>
      <c r="C264">
        <v>1513</v>
      </c>
      <c r="D264">
        <v>1353</v>
      </c>
      <c r="E264">
        <v>714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 x14ac:dyDescent="0.3">
      <c r="A265">
        <v>46</v>
      </c>
      <c r="B265">
        <v>7</v>
      </c>
      <c r="C265">
        <v>1688</v>
      </c>
      <c r="D265">
        <v>1109</v>
      </c>
      <c r="E265">
        <v>324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 x14ac:dyDescent="0.3">
      <c r="A266">
        <v>47</v>
      </c>
      <c r="B266">
        <v>7</v>
      </c>
      <c r="C266">
        <v>1684</v>
      </c>
      <c r="D266">
        <v>1072</v>
      </c>
      <c r="E266">
        <v>300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 x14ac:dyDescent="0.3">
      <c r="A267">
        <v>48</v>
      </c>
      <c r="B267">
        <v>16</v>
      </c>
      <c r="C267">
        <v>1498</v>
      </c>
      <c r="D267">
        <v>1366</v>
      </c>
      <c r="E267">
        <v>713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 x14ac:dyDescent="0.3">
      <c r="A268">
        <v>49</v>
      </c>
      <c r="B268">
        <v>39</v>
      </c>
      <c r="C268">
        <v>1350</v>
      </c>
      <c r="D268">
        <v>1854</v>
      </c>
      <c r="E268">
        <v>1700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 x14ac:dyDescent="0.3">
      <c r="A269">
        <v>50</v>
      </c>
      <c r="B269">
        <v>14</v>
      </c>
      <c r="C269">
        <v>1508</v>
      </c>
      <c r="D269">
        <v>1292</v>
      </c>
      <c r="E269">
        <v>656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 x14ac:dyDescent="0.3">
      <c r="A270">
        <v>51</v>
      </c>
      <c r="B270">
        <v>37</v>
      </c>
      <c r="C270">
        <v>1369</v>
      </c>
      <c r="D270">
        <v>1879</v>
      </c>
      <c r="E270">
        <v>1667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 x14ac:dyDescent="0.3">
      <c r="A271">
        <v>54</v>
      </c>
      <c r="B271">
        <v>63</v>
      </c>
      <c r="C271">
        <v>1479</v>
      </c>
      <c r="D271">
        <v>2384</v>
      </c>
      <c r="E271">
        <v>2916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 x14ac:dyDescent="0.3">
      <c r="A272">
        <v>56</v>
      </c>
      <c r="B272">
        <v>4</v>
      </c>
      <c r="C272">
        <v>1747</v>
      </c>
      <c r="D272">
        <v>968</v>
      </c>
      <c r="E272">
        <v>144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 x14ac:dyDescent="0.3">
      <c r="A273">
        <v>57</v>
      </c>
      <c r="B273">
        <v>4</v>
      </c>
      <c r="C273">
        <v>1784</v>
      </c>
      <c r="D273">
        <v>916</v>
      </c>
      <c r="E273">
        <v>145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3">
      <c r="A274">
        <v>58</v>
      </c>
      <c r="B274">
        <v>15</v>
      </c>
      <c r="C274">
        <v>1486</v>
      </c>
      <c r="D274">
        <v>1349</v>
      </c>
      <c r="E274">
        <v>646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3">
      <c r="A275">
        <v>59</v>
      </c>
      <c r="B275">
        <v>26</v>
      </c>
      <c r="C275">
        <v>1407</v>
      </c>
      <c r="D275">
        <v>1590</v>
      </c>
      <c r="E275">
        <v>1158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 x14ac:dyDescent="0.3">
      <c r="A276">
        <v>60</v>
      </c>
      <c r="B276">
        <v>5</v>
      </c>
      <c r="C276">
        <v>1716</v>
      </c>
      <c r="D276">
        <v>1041</v>
      </c>
      <c r="E276">
        <v>181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 x14ac:dyDescent="0.3">
      <c r="A277">
        <v>63</v>
      </c>
      <c r="B277">
        <v>4</v>
      </c>
      <c r="C277">
        <v>1730</v>
      </c>
      <c r="D277">
        <v>962</v>
      </c>
      <c r="E277">
        <v>145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 x14ac:dyDescent="0.3">
      <c r="A278">
        <v>64</v>
      </c>
      <c r="B278">
        <v>0</v>
      </c>
      <c r="C278">
        <v>1918</v>
      </c>
      <c r="D278">
        <v>815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 x14ac:dyDescent="0.3">
      <c r="A279">
        <v>65</v>
      </c>
      <c r="B279">
        <v>5</v>
      </c>
      <c r="C279">
        <v>1710</v>
      </c>
      <c r="D279">
        <v>1040</v>
      </c>
      <c r="E279">
        <v>166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 x14ac:dyDescent="0.3">
      <c r="A280">
        <v>66</v>
      </c>
      <c r="B280">
        <v>3</v>
      </c>
      <c r="C280">
        <v>1803</v>
      </c>
      <c r="D280">
        <v>861</v>
      </c>
      <c r="E280">
        <v>99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 x14ac:dyDescent="0.3">
      <c r="A281">
        <v>67</v>
      </c>
      <c r="B281">
        <v>21</v>
      </c>
      <c r="C281">
        <v>1380</v>
      </c>
      <c r="D281">
        <v>1405</v>
      </c>
      <c r="E281">
        <v>897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 x14ac:dyDescent="0.3">
      <c r="A282">
        <v>69</v>
      </c>
      <c r="B282">
        <v>2</v>
      </c>
      <c r="C282">
        <v>1781</v>
      </c>
      <c r="D282">
        <v>860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 x14ac:dyDescent="0.3">
      <c r="A283">
        <v>70</v>
      </c>
      <c r="B283">
        <v>0</v>
      </c>
      <c r="C283">
        <v>1918</v>
      </c>
      <c r="D283">
        <v>831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 x14ac:dyDescent="0.3">
      <c r="A284">
        <v>71</v>
      </c>
      <c r="B284">
        <v>25</v>
      </c>
      <c r="C284">
        <v>1390</v>
      </c>
      <c r="D284">
        <v>1554</v>
      </c>
      <c r="E284">
        <v>1156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 x14ac:dyDescent="0.3">
      <c r="A285">
        <v>72</v>
      </c>
      <c r="B285">
        <v>18</v>
      </c>
      <c r="C285">
        <v>1476</v>
      </c>
      <c r="D285">
        <v>1369</v>
      </c>
      <c r="E285">
        <v>814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 x14ac:dyDescent="0.3">
      <c r="A286">
        <v>73</v>
      </c>
      <c r="B286">
        <v>60</v>
      </c>
      <c r="C286">
        <v>1503</v>
      </c>
      <c r="D286">
        <v>2356</v>
      </c>
      <c r="E286">
        <v>2887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 x14ac:dyDescent="0.3">
      <c r="A287">
        <v>75</v>
      </c>
      <c r="B287">
        <v>14</v>
      </c>
      <c r="C287">
        <v>1572</v>
      </c>
      <c r="D287">
        <v>1310</v>
      </c>
      <c r="E287">
        <v>666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 x14ac:dyDescent="0.3">
      <c r="A288">
        <v>76</v>
      </c>
      <c r="B288">
        <v>0</v>
      </c>
      <c r="C288">
        <v>1920</v>
      </c>
      <c r="D288">
        <v>806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35" x14ac:dyDescent="0.3">
      <c r="A289">
        <v>78</v>
      </c>
      <c r="B289">
        <v>31</v>
      </c>
      <c r="C289">
        <v>1278</v>
      </c>
      <c r="D289">
        <v>1726</v>
      </c>
      <c r="E289">
        <v>1292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35" x14ac:dyDescent="0.3">
      <c r="A290">
        <v>79</v>
      </c>
      <c r="B290">
        <v>5</v>
      </c>
      <c r="C290">
        <v>1711</v>
      </c>
      <c r="D290">
        <v>1021</v>
      </c>
      <c r="E290">
        <v>169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35" x14ac:dyDescent="0.3">
      <c r="A291">
        <v>80</v>
      </c>
      <c r="B291">
        <v>15</v>
      </c>
      <c r="C291">
        <v>1482</v>
      </c>
      <c r="D291">
        <v>1343</v>
      </c>
      <c r="E291">
        <v>668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35" x14ac:dyDescent="0.3">
      <c r="A292">
        <v>81</v>
      </c>
      <c r="B292">
        <v>22</v>
      </c>
      <c r="C292">
        <v>1409</v>
      </c>
      <c r="D292">
        <v>1460</v>
      </c>
      <c r="E292">
        <v>988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35" x14ac:dyDescent="0.3">
      <c r="A293">
        <v>82</v>
      </c>
      <c r="B293">
        <v>5</v>
      </c>
      <c r="C293">
        <v>1733</v>
      </c>
      <c r="D293">
        <v>1036</v>
      </c>
      <c r="E293">
        <v>187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35" x14ac:dyDescent="0.3">
      <c r="A294">
        <v>83</v>
      </c>
      <c r="B294">
        <v>0</v>
      </c>
      <c r="C294">
        <v>1909</v>
      </c>
      <c r="D294">
        <v>815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  <row r="295" spans="1:35" x14ac:dyDescent="0.3">
      <c r="A295">
        <v>84</v>
      </c>
      <c r="B295">
        <v>2</v>
      </c>
      <c r="C295">
        <v>1763</v>
      </c>
      <c r="D295">
        <v>859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35" x14ac:dyDescent="0.3">
      <c r="A296">
        <v>85</v>
      </c>
      <c r="B296">
        <v>12</v>
      </c>
      <c r="C296">
        <v>1579</v>
      </c>
      <c r="D296">
        <v>1279</v>
      </c>
      <c r="E296">
        <v>588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35" x14ac:dyDescent="0.3">
      <c r="A297">
        <v>86</v>
      </c>
      <c r="B297">
        <v>16</v>
      </c>
      <c r="C297">
        <v>1537</v>
      </c>
      <c r="D297">
        <v>1359</v>
      </c>
      <c r="E297">
        <v>795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35" x14ac:dyDescent="0.3">
      <c r="A298">
        <v>89</v>
      </c>
      <c r="B298">
        <v>8</v>
      </c>
      <c r="C298">
        <v>1687</v>
      </c>
      <c r="D298">
        <v>1072</v>
      </c>
      <c r="E298">
        <v>365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35" x14ac:dyDescent="0.3">
      <c r="A299">
        <v>90</v>
      </c>
      <c r="B299">
        <v>9</v>
      </c>
      <c r="C299">
        <v>1627</v>
      </c>
      <c r="D299">
        <v>1157</v>
      </c>
      <c r="E299">
        <v>405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35" x14ac:dyDescent="0.3">
      <c r="A300">
        <v>91</v>
      </c>
      <c r="B300">
        <v>5</v>
      </c>
      <c r="C300">
        <v>1748</v>
      </c>
      <c r="D300">
        <v>992</v>
      </c>
      <c r="E300">
        <v>168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35" s="16" customFormat="1" x14ac:dyDescent="0.3">
      <c r="A301">
        <v>93</v>
      </c>
      <c r="B301">
        <v>29</v>
      </c>
      <c r="C301">
        <v>1350</v>
      </c>
      <c r="D301">
        <v>1656</v>
      </c>
      <c r="E301">
        <v>1248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/>
      <c r="O301"/>
      <c r="P301"/>
      <c r="Q301"/>
      <c r="R301"/>
      <c r="S301"/>
      <c r="T301"/>
      <c r="U301"/>
      <c r="V301"/>
      <c r="W301" s="15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</row>
    <row r="302" spans="1:35" s="16" customFormat="1" x14ac:dyDescent="0.3">
      <c r="A302">
        <v>94</v>
      </c>
      <c r="B302">
        <v>12</v>
      </c>
      <c r="C302">
        <v>1580</v>
      </c>
      <c r="D302">
        <v>1250</v>
      </c>
      <c r="E302">
        <v>577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/>
      <c r="O302"/>
      <c r="P302"/>
      <c r="Q302"/>
      <c r="R302"/>
      <c r="S302"/>
      <c r="T302"/>
      <c r="U302"/>
      <c r="V302"/>
      <c r="W302" s="15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</row>
    <row r="303" spans="1:35" s="16" customFormat="1" x14ac:dyDescent="0.3">
      <c r="A303">
        <v>95</v>
      </c>
      <c r="B303">
        <v>5</v>
      </c>
      <c r="C303">
        <v>1708</v>
      </c>
      <c r="D303">
        <v>1033</v>
      </c>
      <c r="E303">
        <v>145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/>
      <c r="O303"/>
      <c r="P303"/>
      <c r="Q303"/>
      <c r="R303"/>
      <c r="S303"/>
      <c r="T303"/>
      <c r="U303"/>
      <c r="V303"/>
      <c r="W303" s="11"/>
      <c r="X303" s="11"/>
      <c r="Y303" s="11"/>
      <c r="Z303" s="10"/>
      <c r="AA303" s="11"/>
      <c r="AB303" s="10"/>
      <c r="AC303" s="11"/>
      <c r="AD303" s="11"/>
      <c r="AE303" s="10"/>
      <c r="AF303" s="10"/>
      <c r="AG303" s="10"/>
      <c r="AH303" s="11"/>
      <c r="AI303" s="10"/>
    </row>
    <row r="304" spans="1:35" s="16" customFormat="1" x14ac:dyDescent="0.3">
      <c r="A304">
        <v>96</v>
      </c>
      <c r="B304">
        <v>5</v>
      </c>
      <c r="C304">
        <v>1701</v>
      </c>
      <c r="D304">
        <v>1000</v>
      </c>
      <c r="E304">
        <v>133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/>
      <c r="O304"/>
      <c r="P304"/>
      <c r="Q304"/>
      <c r="R304"/>
      <c r="S304"/>
      <c r="T304"/>
      <c r="U304"/>
      <c r="V304"/>
      <c r="W304" s="11"/>
      <c r="X304" s="11"/>
      <c r="Y304" s="11"/>
      <c r="Z304" s="10"/>
      <c r="AA304" s="11"/>
      <c r="AB304" s="10"/>
      <c r="AC304" s="11"/>
      <c r="AD304" s="11"/>
      <c r="AE304" s="10"/>
      <c r="AF304" s="10"/>
      <c r="AG304" s="10"/>
      <c r="AH304" s="11"/>
      <c r="AI304" s="10"/>
    </row>
    <row r="305" spans="1:27" x14ac:dyDescent="0.3">
      <c r="A305">
        <v>100</v>
      </c>
      <c r="B305">
        <v>10</v>
      </c>
      <c r="C305">
        <v>1600</v>
      </c>
      <c r="D305">
        <v>1194</v>
      </c>
      <c r="E305">
        <v>419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7" spans="1:27" x14ac:dyDescent="0.3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t="s">
        <v>6</v>
      </c>
      <c r="G307" t="s">
        <v>7</v>
      </c>
      <c r="H307" t="s">
        <v>8</v>
      </c>
      <c r="I307" t="s">
        <v>9</v>
      </c>
      <c r="J307" t="s">
        <v>11</v>
      </c>
      <c r="K307" t="s">
        <v>12</v>
      </c>
      <c r="L307" t="s">
        <v>13</v>
      </c>
      <c r="M307" t="s">
        <v>16</v>
      </c>
      <c r="O307" s="6"/>
      <c r="P307" s="3"/>
      <c r="Q307" s="4"/>
      <c r="R307" s="3"/>
      <c r="S307" s="5"/>
      <c r="T307" s="5"/>
      <c r="U307" s="5"/>
      <c r="V307" s="4"/>
      <c r="W307" s="5"/>
      <c r="X307" s="5"/>
      <c r="Y307" s="5"/>
      <c r="Z307" s="5"/>
      <c r="AA307" s="5"/>
    </row>
    <row r="308" spans="1:27" x14ac:dyDescent="0.3">
      <c r="A308">
        <v>1</v>
      </c>
      <c r="B308">
        <v>688</v>
      </c>
      <c r="C308">
        <v>3000</v>
      </c>
      <c r="D308">
        <v>34346</v>
      </c>
      <c r="E308">
        <v>77758</v>
      </c>
      <c r="F308">
        <v>15506</v>
      </c>
      <c r="G308">
        <v>1398</v>
      </c>
      <c r="H308">
        <v>3000</v>
      </c>
      <c r="I308">
        <v>9</v>
      </c>
      <c r="J308">
        <v>114</v>
      </c>
      <c r="K308">
        <v>18244</v>
      </c>
      <c r="L308">
        <v>5099</v>
      </c>
      <c r="M308">
        <v>29.5</v>
      </c>
      <c r="O308" s="7"/>
      <c r="P308" s="13"/>
      <c r="Q308" s="14"/>
      <c r="R308" s="13"/>
      <c r="S308" s="2"/>
      <c r="T308" s="2"/>
      <c r="U308" s="2"/>
      <c r="V308" s="14"/>
      <c r="W308" s="2"/>
      <c r="X308" s="2"/>
      <c r="Y308" s="2"/>
      <c r="Z308" s="2"/>
      <c r="AA308" s="2"/>
    </row>
    <row r="309" spans="1:27" x14ac:dyDescent="0.3">
      <c r="A309">
        <v>4</v>
      </c>
      <c r="B309">
        <v>551</v>
      </c>
      <c r="C309">
        <v>3000</v>
      </c>
      <c r="D309">
        <v>27120</v>
      </c>
      <c r="E309">
        <v>61069</v>
      </c>
      <c r="F309">
        <v>11675</v>
      </c>
      <c r="G309">
        <v>1273</v>
      </c>
      <c r="H309">
        <v>3000</v>
      </c>
      <c r="I309">
        <v>0</v>
      </c>
      <c r="J309">
        <v>155</v>
      </c>
      <c r="K309">
        <v>9278</v>
      </c>
      <c r="L309">
        <v>2107</v>
      </c>
      <c r="M309">
        <v>22.2</v>
      </c>
      <c r="O309" s="1"/>
      <c r="P309" s="8"/>
      <c r="Q309" s="9"/>
      <c r="R309" s="8"/>
      <c r="S309" s="10"/>
      <c r="T309" s="11"/>
      <c r="U309" s="11"/>
      <c r="V309" s="9"/>
      <c r="W309" s="12"/>
      <c r="X309" s="12"/>
      <c r="Y309" s="12"/>
      <c r="Z309" s="1"/>
      <c r="AA309" s="12"/>
    </row>
    <row r="310" spans="1:27" x14ac:dyDescent="0.3">
      <c r="A310">
        <v>14</v>
      </c>
      <c r="B310">
        <v>497</v>
      </c>
      <c r="C310">
        <v>3000</v>
      </c>
      <c r="D310">
        <v>25022</v>
      </c>
      <c r="E310">
        <v>56144</v>
      </c>
      <c r="F310">
        <v>10765</v>
      </c>
      <c r="G310">
        <v>1887</v>
      </c>
      <c r="H310">
        <v>3000</v>
      </c>
      <c r="I310">
        <v>0</v>
      </c>
      <c r="J310">
        <v>189</v>
      </c>
      <c r="K310">
        <v>24609</v>
      </c>
      <c r="L310">
        <v>5500</v>
      </c>
      <c r="M310">
        <v>48.1</v>
      </c>
      <c r="O310" s="1"/>
      <c r="P310" s="8"/>
      <c r="Q310" s="9"/>
      <c r="R310" s="8"/>
      <c r="S310" s="10"/>
      <c r="T310" s="11"/>
      <c r="U310" s="11"/>
      <c r="V310" s="9"/>
      <c r="W310" s="12"/>
      <c r="X310" s="12"/>
      <c r="Y310" s="12"/>
      <c r="Z310" s="1"/>
      <c r="AA310" s="12"/>
    </row>
    <row r="311" spans="1:27" x14ac:dyDescent="0.3">
      <c r="A311">
        <v>17</v>
      </c>
      <c r="B311">
        <v>549</v>
      </c>
      <c r="C311">
        <v>3000</v>
      </c>
      <c r="D311">
        <v>27601</v>
      </c>
      <c r="E311">
        <v>61872</v>
      </c>
      <c r="F311">
        <v>12077</v>
      </c>
      <c r="G311">
        <v>2264</v>
      </c>
      <c r="H311">
        <v>3000</v>
      </c>
      <c r="I311">
        <v>0</v>
      </c>
      <c r="J311">
        <v>149</v>
      </c>
      <c r="K311">
        <v>26798</v>
      </c>
      <c r="L311">
        <v>5796</v>
      </c>
      <c r="M311">
        <v>40.299999999999997</v>
      </c>
    </row>
    <row r="312" spans="1:27" x14ac:dyDescent="0.3">
      <c r="A312">
        <v>18</v>
      </c>
      <c r="B312">
        <v>543</v>
      </c>
      <c r="C312">
        <v>3000</v>
      </c>
      <c r="D312">
        <v>27406</v>
      </c>
      <c r="E312">
        <v>60982</v>
      </c>
      <c r="F312">
        <v>12190</v>
      </c>
      <c r="G312">
        <v>1112</v>
      </c>
      <c r="H312">
        <v>3000</v>
      </c>
      <c r="I312">
        <v>0</v>
      </c>
      <c r="J312">
        <v>27</v>
      </c>
      <c r="K312">
        <v>6604</v>
      </c>
      <c r="L312">
        <v>1740</v>
      </c>
      <c r="M312">
        <v>13.6</v>
      </c>
    </row>
    <row r="313" spans="1:27" x14ac:dyDescent="0.3">
      <c r="A313">
        <v>19</v>
      </c>
      <c r="B313">
        <v>752</v>
      </c>
      <c r="C313">
        <v>3000</v>
      </c>
      <c r="D313">
        <v>37302</v>
      </c>
      <c r="E313">
        <v>84924</v>
      </c>
      <c r="F313">
        <v>16923</v>
      </c>
      <c r="G313">
        <v>1707</v>
      </c>
      <c r="H313">
        <v>3000</v>
      </c>
      <c r="I313">
        <v>0</v>
      </c>
      <c r="J313">
        <v>335</v>
      </c>
      <c r="K313">
        <v>27589</v>
      </c>
      <c r="L313">
        <v>8264</v>
      </c>
      <c r="M313">
        <v>40.5</v>
      </c>
    </row>
    <row r="314" spans="1:27" x14ac:dyDescent="0.3">
      <c r="A314">
        <v>24</v>
      </c>
      <c r="B314">
        <v>575</v>
      </c>
      <c r="C314">
        <v>3000</v>
      </c>
      <c r="D314">
        <v>29028</v>
      </c>
      <c r="E314">
        <v>65046</v>
      </c>
      <c r="F314">
        <v>13190</v>
      </c>
      <c r="G314">
        <v>1938</v>
      </c>
      <c r="H314">
        <v>3000</v>
      </c>
      <c r="I314">
        <v>11</v>
      </c>
      <c r="J314">
        <v>236</v>
      </c>
      <c r="K314">
        <v>44145</v>
      </c>
      <c r="L314">
        <v>9901</v>
      </c>
      <c r="M314">
        <v>63.1</v>
      </c>
    </row>
    <row r="315" spans="1:27" x14ac:dyDescent="0.3">
      <c r="A315">
        <v>25</v>
      </c>
      <c r="B315">
        <v>539</v>
      </c>
      <c r="C315">
        <v>3000</v>
      </c>
      <c r="D315">
        <v>27236</v>
      </c>
      <c r="E315">
        <v>60708</v>
      </c>
      <c r="F315">
        <v>12241</v>
      </c>
      <c r="G315">
        <v>1999</v>
      </c>
      <c r="H315">
        <v>3000</v>
      </c>
      <c r="I315">
        <v>4</v>
      </c>
      <c r="J315">
        <v>246</v>
      </c>
      <c r="K315">
        <v>38140</v>
      </c>
      <c r="L315">
        <v>9486</v>
      </c>
      <c r="M315">
        <v>56.5</v>
      </c>
    </row>
    <row r="316" spans="1:27" x14ac:dyDescent="0.3">
      <c r="A316">
        <v>28</v>
      </c>
      <c r="B316">
        <v>612</v>
      </c>
      <c r="C316">
        <v>3000</v>
      </c>
      <c r="D316">
        <v>30348</v>
      </c>
      <c r="E316">
        <v>69090</v>
      </c>
      <c r="F316">
        <v>14166</v>
      </c>
      <c r="G316">
        <v>1889</v>
      </c>
      <c r="H316">
        <v>3000</v>
      </c>
      <c r="I316">
        <v>0</v>
      </c>
      <c r="J316">
        <v>654</v>
      </c>
      <c r="K316">
        <v>56908</v>
      </c>
      <c r="L316">
        <v>14528</v>
      </c>
      <c r="M316">
        <v>72.5</v>
      </c>
    </row>
    <row r="317" spans="1:27" x14ac:dyDescent="0.3">
      <c r="A317">
        <v>30</v>
      </c>
      <c r="B317">
        <v>528</v>
      </c>
      <c r="C317">
        <v>3000</v>
      </c>
      <c r="D317">
        <v>26318</v>
      </c>
      <c r="E317">
        <v>58663</v>
      </c>
      <c r="F317">
        <v>11163</v>
      </c>
      <c r="G317">
        <v>1677</v>
      </c>
      <c r="H317">
        <v>3000</v>
      </c>
      <c r="I317">
        <v>0</v>
      </c>
      <c r="J317">
        <v>65</v>
      </c>
      <c r="K317">
        <v>19084</v>
      </c>
      <c r="L317">
        <v>4336</v>
      </c>
      <c r="M317">
        <v>39.799999999999997</v>
      </c>
    </row>
    <row r="318" spans="1:27" x14ac:dyDescent="0.3">
      <c r="A318">
        <v>33</v>
      </c>
      <c r="B318">
        <v>600</v>
      </c>
      <c r="C318">
        <v>3000</v>
      </c>
      <c r="D318">
        <v>29759</v>
      </c>
      <c r="E318">
        <v>67236</v>
      </c>
      <c r="F318">
        <v>13163</v>
      </c>
      <c r="G318">
        <v>2574</v>
      </c>
      <c r="H318">
        <v>3000</v>
      </c>
      <c r="I318">
        <v>11</v>
      </c>
      <c r="J318">
        <v>485</v>
      </c>
      <c r="K318">
        <v>70538</v>
      </c>
      <c r="L318">
        <v>14997</v>
      </c>
      <c r="M318">
        <v>76.7</v>
      </c>
    </row>
    <row r="319" spans="1:27" x14ac:dyDescent="0.3">
      <c r="A319">
        <v>34</v>
      </c>
      <c r="B319">
        <v>589</v>
      </c>
      <c r="C319">
        <v>3000</v>
      </c>
      <c r="D319">
        <v>29511</v>
      </c>
      <c r="E319">
        <v>66471</v>
      </c>
      <c r="F319">
        <v>13271</v>
      </c>
      <c r="G319">
        <v>2068</v>
      </c>
      <c r="H319">
        <v>3000</v>
      </c>
      <c r="I319">
        <v>0</v>
      </c>
      <c r="J319">
        <v>248</v>
      </c>
      <c r="K319">
        <v>46620</v>
      </c>
      <c r="L319">
        <v>9751</v>
      </c>
      <c r="M319">
        <v>58.8</v>
      </c>
    </row>
    <row r="320" spans="1:27" x14ac:dyDescent="0.3">
      <c r="A320">
        <v>39</v>
      </c>
      <c r="B320">
        <v>804</v>
      </c>
      <c r="C320">
        <v>3000</v>
      </c>
      <c r="D320">
        <v>40533</v>
      </c>
      <c r="E320">
        <v>92066</v>
      </c>
      <c r="F320">
        <v>18939</v>
      </c>
      <c r="G320">
        <v>217</v>
      </c>
      <c r="H320">
        <v>3000</v>
      </c>
      <c r="I320">
        <v>0</v>
      </c>
      <c r="J320">
        <v>0</v>
      </c>
      <c r="K320">
        <v>597</v>
      </c>
      <c r="L320">
        <v>226</v>
      </c>
      <c r="M320">
        <v>0.8</v>
      </c>
    </row>
    <row r="321" spans="1:13" x14ac:dyDescent="0.3">
      <c r="A321">
        <v>41</v>
      </c>
      <c r="B321">
        <v>543</v>
      </c>
      <c r="C321">
        <v>3000</v>
      </c>
      <c r="D321">
        <v>26508</v>
      </c>
      <c r="E321">
        <v>59911</v>
      </c>
      <c r="F321">
        <v>11213</v>
      </c>
      <c r="G321">
        <v>1817</v>
      </c>
      <c r="H321">
        <v>3000</v>
      </c>
      <c r="I321">
        <v>8</v>
      </c>
      <c r="J321">
        <v>225</v>
      </c>
      <c r="K321">
        <v>25822</v>
      </c>
      <c r="L321">
        <v>6288</v>
      </c>
      <c r="M321">
        <v>39.4</v>
      </c>
    </row>
    <row r="322" spans="1:13" x14ac:dyDescent="0.3">
      <c r="A322">
        <v>47</v>
      </c>
      <c r="B322">
        <v>631</v>
      </c>
      <c r="C322">
        <v>3000</v>
      </c>
      <c r="D322">
        <v>31543</v>
      </c>
      <c r="E322">
        <v>71055</v>
      </c>
      <c r="F322">
        <v>14294</v>
      </c>
      <c r="G322">
        <v>2304</v>
      </c>
      <c r="H322">
        <v>3000</v>
      </c>
      <c r="I322">
        <v>23</v>
      </c>
      <c r="J322">
        <v>319</v>
      </c>
      <c r="K322">
        <v>44916</v>
      </c>
      <c r="L322">
        <v>11736</v>
      </c>
      <c r="M322">
        <v>56.5</v>
      </c>
    </row>
    <row r="323" spans="1:13" x14ac:dyDescent="0.3">
      <c r="A323">
        <v>48</v>
      </c>
      <c r="B323">
        <v>765</v>
      </c>
      <c r="C323">
        <v>3000</v>
      </c>
      <c r="D323">
        <v>38106</v>
      </c>
      <c r="E323">
        <v>86646</v>
      </c>
      <c r="F323">
        <v>17455</v>
      </c>
      <c r="G323">
        <v>442</v>
      </c>
      <c r="H323">
        <v>3000</v>
      </c>
      <c r="I323">
        <v>0</v>
      </c>
      <c r="J323">
        <v>0</v>
      </c>
      <c r="K323">
        <v>1810</v>
      </c>
      <c r="L323">
        <v>543</v>
      </c>
      <c r="M323">
        <v>2.7</v>
      </c>
    </row>
    <row r="324" spans="1:13" x14ac:dyDescent="0.3">
      <c r="A324">
        <v>51</v>
      </c>
      <c r="B324">
        <v>596</v>
      </c>
      <c r="C324">
        <v>3000</v>
      </c>
      <c r="D324">
        <v>29813</v>
      </c>
      <c r="E324">
        <v>66968</v>
      </c>
      <c r="F324">
        <v>13460</v>
      </c>
      <c r="G324">
        <v>1365</v>
      </c>
      <c r="H324">
        <v>3000</v>
      </c>
      <c r="I324">
        <v>0</v>
      </c>
      <c r="J324">
        <v>48</v>
      </c>
      <c r="K324">
        <v>8277</v>
      </c>
      <c r="L324">
        <v>2200</v>
      </c>
      <c r="M324">
        <v>18.8</v>
      </c>
    </row>
    <row r="325" spans="1:13" x14ac:dyDescent="0.3">
      <c r="A325">
        <v>56</v>
      </c>
      <c r="B325">
        <v>616</v>
      </c>
      <c r="C325">
        <v>3000</v>
      </c>
      <c r="D325">
        <v>30544</v>
      </c>
      <c r="E325">
        <v>68553</v>
      </c>
      <c r="F325">
        <v>13279</v>
      </c>
      <c r="G325">
        <v>1938</v>
      </c>
      <c r="H325">
        <v>3000</v>
      </c>
      <c r="I325">
        <v>0</v>
      </c>
      <c r="J325">
        <v>316</v>
      </c>
      <c r="K325">
        <v>30971</v>
      </c>
      <c r="L325">
        <v>7656</v>
      </c>
      <c r="M325">
        <v>45.6</v>
      </c>
    </row>
    <row r="326" spans="1:13" x14ac:dyDescent="0.3">
      <c r="A326">
        <v>58</v>
      </c>
      <c r="B326">
        <v>652</v>
      </c>
      <c r="C326">
        <v>3000</v>
      </c>
      <c r="D326">
        <v>32525</v>
      </c>
      <c r="E326">
        <v>73941</v>
      </c>
      <c r="F326">
        <v>14703</v>
      </c>
      <c r="G326">
        <v>1498</v>
      </c>
      <c r="H326">
        <v>3000</v>
      </c>
      <c r="I326">
        <v>0</v>
      </c>
      <c r="J326">
        <v>48</v>
      </c>
      <c r="K326">
        <v>11989</v>
      </c>
      <c r="L326">
        <v>3216</v>
      </c>
      <c r="M326">
        <v>22.6</v>
      </c>
    </row>
    <row r="327" spans="1:13" x14ac:dyDescent="0.3">
      <c r="A327">
        <v>60</v>
      </c>
      <c r="B327">
        <v>610</v>
      </c>
      <c r="C327">
        <v>3000</v>
      </c>
      <c r="D327">
        <v>30567</v>
      </c>
      <c r="E327">
        <v>69115</v>
      </c>
      <c r="F327">
        <v>13804</v>
      </c>
      <c r="G327">
        <v>1931</v>
      </c>
      <c r="H327">
        <v>3000</v>
      </c>
      <c r="I327">
        <v>0</v>
      </c>
      <c r="J327">
        <v>141</v>
      </c>
      <c r="K327">
        <v>29281</v>
      </c>
      <c r="L327">
        <v>6262</v>
      </c>
      <c r="M327">
        <v>52.9</v>
      </c>
    </row>
    <row r="328" spans="1:13" x14ac:dyDescent="0.3">
      <c r="A328">
        <v>66</v>
      </c>
      <c r="B328">
        <v>595</v>
      </c>
      <c r="C328">
        <v>3000</v>
      </c>
      <c r="D328">
        <v>29625</v>
      </c>
      <c r="E328">
        <v>66568</v>
      </c>
      <c r="F328">
        <v>13364</v>
      </c>
      <c r="G328">
        <v>1175</v>
      </c>
      <c r="H328">
        <v>3000</v>
      </c>
      <c r="I328">
        <v>0</v>
      </c>
      <c r="J328">
        <v>40</v>
      </c>
      <c r="K328">
        <v>8145</v>
      </c>
      <c r="L328">
        <v>1851</v>
      </c>
      <c r="M328">
        <v>14.7</v>
      </c>
    </row>
    <row r="329" spans="1:13" x14ac:dyDescent="0.3">
      <c r="A329">
        <v>71</v>
      </c>
      <c r="B329">
        <v>644</v>
      </c>
      <c r="C329">
        <v>3000</v>
      </c>
      <c r="D329">
        <v>31749</v>
      </c>
      <c r="E329">
        <v>72131</v>
      </c>
      <c r="F329">
        <v>14066</v>
      </c>
      <c r="G329">
        <v>1609</v>
      </c>
      <c r="H329">
        <v>3000</v>
      </c>
      <c r="I329">
        <v>0</v>
      </c>
      <c r="J329">
        <v>242</v>
      </c>
      <c r="K329">
        <v>25985</v>
      </c>
      <c r="L329">
        <v>6584</v>
      </c>
      <c r="M329">
        <v>48.7</v>
      </c>
    </row>
    <row r="330" spans="1:13" x14ac:dyDescent="0.3">
      <c r="A330">
        <v>73</v>
      </c>
      <c r="B330">
        <v>656</v>
      </c>
      <c r="C330">
        <v>3000</v>
      </c>
      <c r="D330">
        <v>32817</v>
      </c>
      <c r="E330">
        <v>74174</v>
      </c>
      <c r="F330">
        <v>14953</v>
      </c>
      <c r="G330">
        <v>1721</v>
      </c>
      <c r="H330">
        <v>3000</v>
      </c>
      <c r="I330">
        <v>0</v>
      </c>
      <c r="J330">
        <v>103</v>
      </c>
      <c r="K330">
        <v>20412</v>
      </c>
      <c r="L330">
        <v>5176</v>
      </c>
      <c r="M330">
        <v>35.9</v>
      </c>
    </row>
    <row r="331" spans="1:13" x14ac:dyDescent="0.3">
      <c r="A331">
        <v>75</v>
      </c>
      <c r="B331">
        <v>563</v>
      </c>
      <c r="C331">
        <v>3000</v>
      </c>
      <c r="D331">
        <v>27949</v>
      </c>
      <c r="E331">
        <v>62331</v>
      </c>
      <c r="F331">
        <v>12369</v>
      </c>
      <c r="G331">
        <v>2277</v>
      </c>
      <c r="H331">
        <v>3000</v>
      </c>
      <c r="I331">
        <v>0</v>
      </c>
      <c r="J331">
        <v>192</v>
      </c>
      <c r="K331">
        <v>31797</v>
      </c>
      <c r="L331">
        <v>7163</v>
      </c>
      <c r="M331">
        <v>50</v>
      </c>
    </row>
    <row r="332" spans="1:13" x14ac:dyDescent="0.3">
      <c r="A332">
        <v>78</v>
      </c>
      <c r="B332">
        <v>590</v>
      </c>
      <c r="C332">
        <v>3000</v>
      </c>
      <c r="D332">
        <v>29258</v>
      </c>
      <c r="E332">
        <v>65882</v>
      </c>
      <c r="F332">
        <v>13172</v>
      </c>
      <c r="G332">
        <v>2145</v>
      </c>
      <c r="H332">
        <v>3000</v>
      </c>
      <c r="I332">
        <v>0</v>
      </c>
      <c r="J332">
        <v>141</v>
      </c>
      <c r="K332">
        <v>29254</v>
      </c>
      <c r="L332">
        <v>6979</v>
      </c>
      <c r="M332">
        <v>42.9</v>
      </c>
    </row>
    <row r="333" spans="1:13" x14ac:dyDescent="0.3">
      <c r="A333">
        <v>89</v>
      </c>
      <c r="B333">
        <v>589</v>
      </c>
      <c r="C333">
        <v>3000</v>
      </c>
      <c r="D333">
        <v>29549</v>
      </c>
      <c r="E333">
        <v>66641</v>
      </c>
      <c r="F333">
        <v>13590</v>
      </c>
      <c r="G333">
        <v>1782</v>
      </c>
      <c r="H333">
        <v>3000</v>
      </c>
      <c r="I333">
        <v>0</v>
      </c>
      <c r="J333">
        <v>146</v>
      </c>
      <c r="K333">
        <v>16858</v>
      </c>
      <c r="L333">
        <v>4190</v>
      </c>
      <c r="M333">
        <v>31.9</v>
      </c>
    </row>
    <row r="334" spans="1:13" x14ac:dyDescent="0.3">
      <c r="A334">
        <v>96</v>
      </c>
      <c r="B334">
        <v>501</v>
      </c>
      <c r="C334">
        <v>3000</v>
      </c>
      <c r="D334">
        <v>25079</v>
      </c>
      <c r="E334">
        <v>56098</v>
      </c>
      <c r="F334">
        <v>10637</v>
      </c>
      <c r="G334">
        <v>2193</v>
      </c>
      <c r="H334">
        <v>3000</v>
      </c>
      <c r="I334">
        <v>0</v>
      </c>
      <c r="J334">
        <v>232</v>
      </c>
      <c r="K334">
        <v>25053</v>
      </c>
      <c r="L334">
        <v>5239</v>
      </c>
      <c r="M334">
        <v>41.8</v>
      </c>
    </row>
    <row r="335" spans="1:13" x14ac:dyDescent="0.3">
      <c r="A335">
        <v>12</v>
      </c>
      <c r="B335">
        <v>590</v>
      </c>
      <c r="C335">
        <v>2989</v>
      </c>
      <c r="D335">
        <v>29568</v>
      </c>
      <c r="E335">
        <v>66247</v>
      </c>
      <c r="F335">
        <v>13601</v>
      </c>
      <c r="G335">
        <v>2239</v>
      </c>
      <c r="H335">
        <v>2989</v>
      </c>
      <c r="I335">
        <v>0</v>
      </c>
      <c r="J335">
        <v>311</v>
      </c>
      <c r="K335">
        <v>48275</v>
      </c>
      <c r="L335">
        <v>11209</v>
      </c>
      <c r="M335">
        <v>68.3</v>
      </c>
    </row>
    <row r="336" spans="1:13" x14ac:dyDescent="0.3">
      <c r="A336">
        <v>2</v>
      </c>
      <c r="B336">
        <v>10</v>
      </c>
      <c r="C336">
        <v>2450</v>
      </c>
      <c r="D336">
        <v>1748</v>
      </c>
      <c r="E336">
        <v>669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 x14ac:dyDescent="0.3">
      <c r="A337">
        <v>3</v>
      </c>
      <c r="B337">
        <v>17</v>
      </c>
      <c r="C337">
        <v>2182</v>
      </c>
      <c r="D337">
        <v>2039</v>
      </c>
      <c r="E337">
        <v>1002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 x14ac:dyDescent="0.3">
      <c r="A338">
        <v>5</v>
      </c>
      <c r="B338">
        <v>1</v>
      </c>
      <c r="C338">
        <v>2732</v>
      </c>
      <c r="D338">
        <v>1343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 x14ac:dyDescent="0.3">
      <c r="A339">
        <v>6</v>
      </c>
      <c r="B339">
        <v>15</v>
      </c>
      <c r="C339">
        <v>2227</v>
      </c>
      <c r="D339">
        <v>1968</v>
      </c>
      <c r="E339">
        <v>924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 x14ac:dyDescent="0.3">
      <c r="A340">
        <v>7</v>
      </c>
      <c r="B340">
        <v>15</v>
      </c>
      <c r="C340">
        <v>2201</v>
      </c>
      <c r="D340">
        <v>1952</v>
      </c>
      <c r="E340">
        <v>892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 x14ac:dyDescent="0.3">
      <c r="A341">
        <v>8</v>
      </c>
      <c r="B341">
        <v>14</v>
      </c>
      <c r="C341">
        <v>2322</v>
      </c>
      <c r="D341">
        <v>1874</v>
      </c>
      <c r="E341">
        <v>878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 x14ac:dyDescent="0.3">
      <c r="A342">
        <v>9</v>
      </c>
      <c r="B342">
        <v>26</v>
      </c>
      <c r="C342">
        <v>1907</v>
      </c>
      <c r="D342">
        <v>2356</v>
      </c>
      <c r="E342">
        <v>1452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 x14ac:dyDescent="0.3">
      <c r="A343">
        <v>10</v>
      </c>
      <c r="B343">
        <v>21</v>
      </c>
      <c r="C343">
        <v>2051</v>
      </c>
      <c r="D343">
        <v>2066</v>
      </c>
      <c r="E343">
        <v>1193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x14ac:dyDescent="0.3">
      <c r="A344">
        <v>11</v>
      </c>
      <c r="B344">
        <v>0</v>
      </c>
      <c r="C344">
        <v>2864</v>
      </c>
      <c r="D344">
        <v>1271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 x14ac:dyDescent="0.3">
      <c r="A345">
        <v>13</v>
      </c>
      <c r="B345">
        <v>1</v>
      </c>
      <c r="C345">
        <v>2745</v>
      </c>
      <c r="D345">
        <v>1285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 x14ac:dyDescent="0.3">
      <c r="A346">
        <v>15</v>
      </c>
      <c r="B346">
        <v>19</v>
      </c>
      <c r="C346">
        <v>2170</v>
      </c>
      <c r="D346">
        <v>2108</v>
      </c>
      <c r="E346">
        <v>1226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 x14ac:dyDescent="0.3">
      <c r="A347">
        <v>16</v>
      </c>
      <c r="B347">
        <v>53</v>
      </c>
      <c r="C347">
        <v>2072</v>
      </c>
      <c r="D347">
        <v>3282</v>
      </c>
      <c r="E347">
        <v>3592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 x14ac:dyDescent="0.3">
      <c r="A348">
        <v>20</v>
      </c>
      <c r="B348">
        <v>10</v>
      </c>
      <c r="C348">
        <v>2378</v>
      </c>
      <c r="D348">
        <v>1731</v>
      </c>
      <c r="E348">
        <v>628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 x14ac:dyDescent="0.3">
      <c r="A349">
        <v>21</v>
      </c>
      <c r="B349">
        <v>18</v>
      </c>
      <c r="C349">
        <v>2160</v>
      </c>
      <c r="D349">
        <v>2061</v>
      </c>
      <c r="E349">
        <v>1105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 x14ac:dyDescent="0.3">
      <c r="A350">
        <v>22</v>
      </c>
      <c r="B350">
        <v>5</v>
      </c>
      <c r="C350">
        <v>2532</v>
      </c>
      <c r="D350">
        <v>1542</v>
      </c>
      <c r="E350">
        <v>243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 x14ac:dyDescent="0.3">
      <c r="A351">
        <v>23</v>
      </c>
      <c r="B351">
        <v>7</v>
      </c>
      <c r="C351">
        <v>2521</v>
      </c>
      <c r="D351">
        <v>1550</v>
      </c>
      <c r="E351">
        <v>413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 x14ac:dyDescent="0.3">
      <c r="A352">
        <v>26</v>
      </c>
      <c r="B352">
        <v>20</v>
      </c>
      <c r="C352">
        <v>2090</v>
      </c>
      <c r="D352">
        <v>2111</v>
      </c>
      <c r="E352">
        <v>1205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 x14ac:dyDescent="0.3">
      <c r="A353">
        <v>27</v>
      </c>
      <c r="B353">
        <v>0</v>
      </c>
      <c r="C353">
        <v>2866</v>
      </c>
      <c r="D353">
        <v>1284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 x14ac:dyDescent="0.3">
      <c r="A354">
        <v>29</v>
      </c>
      <c r="B354">
        <v>19</v>
      </c>
      <c r="C354">
        <v>2174</v>
      </c>
      <c r="D354">
        <v>2067</v>
      </c>
      <c r="E354">
        <v>1195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 x14ac:dyDescent="0.3">
      <c r="A355">
        <v>31</v>
      </c>
      <c r="B355">
        <v>30</v>
      </c>
      <c r="C355">
        <v>1962</v>
      </c>
      <c r="D355">
        <v>2519</v>
      </c>
      <c r="E355">
        <v>1832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 x14ac:dyDescent="0.3">
      <c r="A356">
        <v>32</v>
      </c>
      <c r="B356">
        <v>9</v>
      </c>
      <c r="C356">
        <v>2476</v>
      </c>
      <c r="D356">
        <v>1635</v>
      </c>
      <c r="E356">
        <v>607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 x14ac:dyDescent="0.3">
      <c r="A357">
        <v>35</v>
      </c>
      <c r="B357">
        <v>2</v>
      </c>
      <c r="C357">
        <v>2660</v>
      </c>
      <c r="D357">
        <v>1364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 x14ac:dyDescent="0.3">
      <c r="A358">
        <v>36</v>
      </c>
      <c r="B358">
        <v>11</v>
      </c>
      <c r="C358">
        <v>2365</v>
      </c>
      <c r="D358">
        <v>1768</v>
      </c>
      <c r="E358">
        <v>696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 x14ac:dyDescent="0.3">
      <c r="A359">
        <v>37</v>
      </c>
      <c r="B359">
        <v>11</v>
      </c>
      <c r="C359">
        <v>2353</v>
      </c>
      <c r="D359">
        <v>1794</v>
      </c>
      <c r="E359">
        <v>684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 x14ac:dyDescent="0.3">
      <c r="A360">
        <v>38</v>
      </c>
      <c r="B360">
        <v>17</v>
      </c>
      <c r="C360">
        <v>2259</v>
      </c>
      <c r="D360">
        <v>2047</v>
      </c>
      <c r="E360">
        <v>1103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 x14ac:dyDescent="0.3">
      <c r="A361">
        <v>40</v>
      </c>
      <c r="B361">
        <v>26</v>
      </c>
      <c r="C361">
        <v>2004</v>
      </c>
      <c r="D361">
        <v>2306</v>
      </c>
      <c r="E361">
        <v>1549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 x14ac:dyDescent="0.3">
      <c r="A362">
        <v>42</v>
      </c>
      <c r="B362">
        <v>3</v>
      </c>
      <c r="C362">
        <v>2675</v>
      </c>
      <c r="D362">
        <v>1409</v>
      </c>
      <c r="E362">
        <v>134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 x14ac:dyDescent="0.3">
      <c r="A363">
        <v>43</v>
      </c>
      <c r="B363">
        <v>10</v>
      </c>
      <c r="C363">
        <v>2406</v>
      </c>
      <c r="D363">
        <v>1766</v>
      </c>
      <c r="E363">
        <v>633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 x14ac:dyDescent="0.3">
      <c r="A364">
        <v>44</v>
      </c>
      <c r="B364">
        <v>11</v>
      </c>
      <c r="C364">
        <v>2423</v>
      </c>
      <c r="D364">
        <v>1713</v>
      </c>
      <c r="E364">
        <v>691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 x14ac:dyDescent="0.3">
      <c r="A365">
        <v>45</v>
      </c>
      <c r="B365">
        <v>23</v>
      </c>
      <c r="C365">
        <v>2051</v>
      </c>
      <c r="D365">
        <v>2225</v>
      </c>
      <c r="E365">
        <v>1380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 x14ac:dyDescent="0.3">
      <c r="A366">
        <v>46</v>
      </c>
      <c r="B366">
        <v>16</v>
      </c>
      <c r="C366">
        <v>2244</v>
      </c>
      <c r="D366">
        <v>1954</v>
      </c>
      <c r="E366">
        <v>1003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 x14ac:dyDescent="0.3">
      <c r="A367">
        <v>49</v>
      </c>
      <c r="B367">
        <v>6</v>
      </c>
      <c r="C367">
        <v>2579</v>
      </c>
      <c r="D367">
        <v>1577</v>
      </c>
      <c r="E367">
        <v>363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 x14ac:dyDescent="0.3">
      <c r="A368">
        <v>50</v>
      </c>
      <c r="B368">
        <v>26</v>
      </c>
      <c r="C368">
        <v>1984</v>
      </c>
      <c r="D368">
        <v>2276</v>
      </c>
      <c r="E368">
        <v>1525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 x14ac:dyDescent="0.3">
      <c r="A369">
        <v>52</v>
      </c>
      <c r="B369">
        <v>5</v>
      </c>
      <c r="C369">
        <v>2578</v>
      </c>
      <c r="D369">
        <v>1536</v>
      </c>
      <c r="E369">
        <v>249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 x14ac:dyDescent="0.3">
      <c r="A370">
        <v>53</v>
      </c>
      <c r="B370">
        <v>4</v>
      </c>
      <c r="C370">
        <v>2642</v>
      </c>
      <c r="D370">
        <v>1475</v>
      </c>
      <c r="E370">
        <v>228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 x14ac:dyDescent="0.3">
      <c r="A371">
        <v>54</v>
      </c>
      <c r="B371">
        <v>43</v>
      </c>
      <c r="C371">
        <v>2019</v>
      </c>
      <c r="D371">
        <v>2934</v>
      </c>
      <c r="E371">
        <v>2787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 x14ac:dyDescent="0.3">
      <c r="A372">
        <v>55</v>
      </c>
      <c r="B372">
        <v>5</v>
      </c>
      <c r="C372">
        <v>2583</v>
      </c>
      <c r="D372">
        <v>1498</v>
      </c>
      <c r="E372">
        <v>254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 x14ac:dyDescent="0.3">
      <c r="A373">
        <v>57</v>
      </c>
      <c r="B373">
        <v>31</v>
      </c>
      <c r="C373">
        <v>1881</v>
      </c>
      <c r="D373">
        <v>2530</v>
      </c>
      <c r="E373">
        <v>1758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 x14ac:dyDescent="0.3">
      <c r="A374">
        <v>59</v>
      </c>
      <c r="B374">
        <v>33</v>
      </c>
      <c r="C374">
        <v>2075</v>
      </c>
      <c r="D374">
        <v>2621</v>
      </c>
      <c r="E374">
        <v>2159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 x14ac:dyDescent="0.3">
      <c r="A375">
        <v>61</v>
      </c>
      <c r="B375">
        <v>23</v>
      </c>
      <c r="C375">
        <v>2050</v>
      </c>
      <c r="D375">
        <v>2215</v>
      </c>
      <c r="E375">
        <v>1432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 x14ac:dyDescent="0.3">
      <c r="A376">
        <v>62</v>
      </c>
      <c r="B376">
        <v>14</v>
      </c>
      <c r="C376">
        <v>2256</v>
      </c>
      <c r="D376">
        <v>1856</v>
      </c>
      <c r="E376">
        <v>829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 x14ac:dyDescent="0.3">
      <c r="A377">
        <v>63</v>
      </c>
      <c r="B377">
        <v>26</v>
      </c>
      <c r="C377">
        <v>1983</v>
      </c>
      <c r="D377">
        <v>2333</v>
      </c>
      <c r="E377">
        <v>1528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 x14ac:dyDescent="0.3">
      <c r="A378">
        <v>64</v>
      </c>
      <c r="B378">
        <v>1</v>
      </c>
      <c r="C378">
        <v>2737</v>
      </c>
      <c r="D378">
        <v>1338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 x14ac:dyDescent="0.3">
      <c r="A379">
        <v>65</v>
      </c>
      <c r="B379">
        <v>4</v>
      </c>
      <c r="C379">
        <v>2699</v>
      </c>
      <c r="D379">
        <v>1440</v>
      </c>
      <c r="E379">
        <v>228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 x14ac:dyDescent="0.3">
      <c r="A380">
        <v>67</v>
      </c>
      <c r="B380">
        <v>1</v>
      </c>
      <c r="C380">
        <v>2748</v>
      </c>
      <c r="D380">
        <v>1342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 x14ac:dyDescent="0.3">
      <c r="A381">
        <v>68</v>
      </c>
      <c r="B381">
        <v>4</v>
      </c>
      <c r="C381">
        <v>2708</v>
      </c>
      <c r="D381">
        <v>1436</v>
      </c>
      <c r="E381">
        <v>222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 x14ac:dyDescent="0.3">
      <c r="A382">
        <v>69</v>
      </c>
      <c r="B382">
        <v>37</v>
      </c>
      <c r="C382">
        <v>1868</v>
      </c>
      <c r="D382">
        <v>2744</v>
      </c>
      <c r="E382">
        <v>2206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 x14ac:dyDescent="0.3">
      <c r="A383">
        <v>70</v>
      </c>
      <c r="B383">
        <v>47</v>
      </c>
      <c r="C383">
        <v>2073</v>
      </c>
      <c r="D383">
        <v>3017</v>
      </c>
      <c r="E383">
        <v>3154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 x14ac:dyDescent="0.3">
      <c r="A384">
        <v>72</v>
      </c>
      <c r="B384">
        <v>2</v>
      </c>
      <c r="C384">
        <v>2603</v>
      </c>
      <c r="D384">
        <v>1389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 x14ac:dyDescent="0.3">
      <c r="A385">
        <v>74</v>
      </c>
      <c r="B385">
        <v>27</v>
      </c>
      <c r="C385">
        <v>1990</v>
      </c>
      <c r="D385">
        <v>2389</v>
      </c>
      <c r="E385">
        <v>1643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 x14ac:dyDescent="0.3">
      <c r="A386">
        <v>76</v>
      </c>
      <c r="B386">
        <v>27</v>
      </c>
      <c r="C386">
        <v>1901</v>
      </c>
      <c r="D386">
        <v>2405</v>
      </c>
      <c r="E386">
        <v>1557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 x14ac:dyDescent="0.3">
      <c r="A387">
        <v>77</v>
      </c>
      <c r="B387">
        <v>32</v>
      </c>
      <c r="C387">
        <v>1949</v>
      </c>
      <c r="D387">
        <v>2466</v>
      </c>
      <c r="E387">
        <v>1874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 x14ac:dyDescent="0.3">
      <c r="A388">
        <v>79</v>
      </c>
      <c r="B388">
        <v>21</v>
      </c>
      <c r="C388">
        <v>2080</v>
      </c>
      <c r="D388">
        <v>2101</v>
      </c>
      <c r="E388">
        <v>1226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 x14ac:dyDescent="0.3">
      <c r="A389">
        <v>80</v>
      </c>
      <c r="B389">
        <v>27</v>
      </c>
      <c r="C389">
        <v>1973</v>
      </c>
      <c r="D389">
        <v>2392</v>
      </c>
      <c r="E389">
        <v>1613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 x14ac:dyDescent="0.3">
      <c r="A390">
        <v>81</v>
      </c>
      <c r="B390">
        <v>14</v>
      </c>
      <c r="C390">
        <v>2315</v>
      </c>
      <c r="D390">
        <v>1787</v>
      </c>
      <c r="E390">
        <v>939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</row>
    <row r="391" spans="1:13" x14ac:dyDescent="0.3">
      <c r="A391">
        <v>82</v>
      </c>
      <c r="B391">
        <v>13</v>
      </c>
      <c r="C391">
        <v>2330</v>
      </c>
      <c r="D391">
        <v>1875</v>
      </c>
      <c r="E391">
        <v>901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 x14ac:dyDescent="0.3">
      <c r="A392">
        <v>83</v>
      </c>
      <c r="B392">
        <v>20</v>
      </c>
      <c r="C392">
        <v>2150</v>
      </c>
      <c r="D392">
        <v>2053</v>
      </c>
      <c r="E392">
        <v>1212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 x14ac:dyDescent="0.3">
      <c r="A393">
        <v>84</v>
      </c>
      <c r="B393">
        <v>6</v>
      </c>
      <c r="C393">
        <v>2577</v>
      </c>
      <c r="D393">
        <v>1573</v>
      </c>
      <c r="E393">
        <v>374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 x14ac:dyDescent="0.3">
      <c r="A394">
        <v>85</v>
      </c>
      <c r="B394">
        <v>30</v>
      </c>
      <c r="C394">
        <v>2033</v>
      </c>
      <c r="D394">
        <v>2455</v>
      </c>
      <c r="E394">
        <v>1798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 x14ac:dyDescent="0.3">
      <c r="A395">
        <v>86</v>
      </c>
      <c r="B395">
        <v>7</v>
      </c>
      <c r="C395">
        <v>2523</v>
      </c>
      <c r="D395">
        <v>1581</v>
      </c>
      <c r="E395">
        <v>439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 x14ac:dyDescent="0.3">
      <c r="A396">
        <v>87</v>
      </c>
      <c r="B396">
        <v>35</v>
      </c>
      <c r="C396">
        <v>1907</v>
      </c>
      <c r="D396">
        <v>2670</v>
      </c>
      <c r="E396">
        <v>2070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 x14ac:dyDescent="0.3">
      <c r="A397">
        <v>88</v>
      </c>
      <c r="B397">
        <v>18</v>
      </c>
      <c r="C397">
        <v>2214</v>
      </c>
      <c r="D397">
        <v>2046</v>
      </c>
      <c r="E397">
        <v>1155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 x14ac:dyDescent="0.3">
      <c r="A398">
        <v>90</v>
      </c>
      <c r="B398">
        <v>0</v>
      </c>
      <c r="C398">
        <v>2857</v>
      </c>
      <c r="D398">
        <v>1282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 x14ac:dyDescent="0.3">
      <c r="A399">
        <v>91</v>
      </c>
      <c r="B399">
        <v>2</v>
      </c>
      <c r="C399">
        <v>2661</v>
      </c>
      <c r="D399">
        <v>1379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 x14ac:dyDescent="0.3">
      <c r="A400">
        <v>92</v>
      </c>
      <c r="B400">
        <v>22</v>
      </c>
      <c r="C400">
        <v>2047</v>
      </c>
      <c r="D400">
        <v>2162</v>
      </c>
      <c r="E400">
        <v>1249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27" x14ac:dyDescent="0.3">
      <c r="A401">
        <v>93</v>
      </c>
      <c r="B401">
        <v>12</v>
      </c>
      <c r="C401">
        <v>2429</v>
      </c>
      <c r="D401">
        <v>1820</v>
      </c>
      <c r="E401">
        <v>861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27" x14ac:dyDescent="0.3">
      <c r="A402">
        <v>94</v>
      </c>
      <c r="B402">
        <v>4</v>
      </c>
      <c r="C402">
        <v>2683</v>
      </c>
      <c r="D402">
        <v>1419</v>
      </c>
      <c r="E402">
        <v>230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27" x14ac:dyDescent="0.3">
      <c r="A403">
        <v>95</v>
      </c>
      <c r="B403">
        <v>7</v>
      </c>
      <c r="C403">
        <v>2434</v>
      </c>
      <c r="D403">
        <v>1636</v>
      </c>
      <c r="E403">
        <v>395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27" x14ac:dyDescent="0.3">
      <c r="A404">
        <v>97</v>
      </c>
      <c r="B404">
        <v>31</v>
      </c>
      <c r="C404">
        <v>1985</v>
      </c>
      <c r="D404">
        <v>2526</v>
      </c>
      <c r="E404">
        <v>1861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27" x14ac:dyDescent="0.3">
      <c r="A405">
        <v>98</v>
      </c>
      <c r="B405">
        <v>23</v>
      </c>
      <c r="C405">
        <v>2020</v>
      </c>
      <c r="D405">
        <v>2200</v>
      </c>
      <c r="E405">
        <v>1362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</row>
    <row r="406" spans="1:27" x14ac:dyDescent="0.3">
      <c r="A406">
        <v>99</v>
      </c>
      <c r="B406">
        <v>0</v>
      </c>
      <c r="C406">
        <v>2875</v>
      </c>
      <c r="D406">
        <v>1263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27" x14ac:dyDescent="0.3">
      <c r="A407">
        <v>100</v>
      </c>
      <c r="B407">
        <v>23</v>
      </c>
      <c r="C407">
        <v>2088</v>
      </c>
      <c r="D407">
        <v>2227</v>
      </c>
      <c r="E407">
        <v>1360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9" spans="1:27" x14ac:dyDescent="0.3">
      <c r="A409" t="s">
        <v>0</v>
      </c>
      <c r="B409" t="s">
        <v>1</v>
      </c>
      <c r="C409" t="s">
        <v>2</v>
      </c>
      <c r="D409" t="s">
        <v>3</v>
      </c>
      <c r="E409" t="s">
        <v>4</v>
      </c>
      <c r="F409" t="s">
        <v>6</v>
      </c>
      <c r="G409" t="s">
        <v>7</v>
      </c>
      <c r="H409" t="s">
        <v>8</v>
      </c>
      <c r="I409" t="s">
        <v>9</v>
      </c>
      <c r="J409" t="s">
        <v>11</v>
      </c>
      <c r="K409" t="s">
        <v>12</v>
      </c>
      <c r="L409" t="s">
        <v>13</v>
      </c>
      <c r="M409" t="s">
        <v>16</v>
      </c>
      <c r="O409" s="6"/>
      <c r="P409" s="3"/>
      <c r="Q409" s="4"/>
      <c r="R409" s="3"/>
      <c r="S409" s="5"/>
      <c r="T409" s="5"/>
      <c r="U409" s="5"/>
      <c r="V409" s="4"/>
      <c r="W409" s="5"/>
      <c r="X409" s="5"/>
      <c r="Y409" s="5"/>
      <c r="Z409" s="5"/>
      <c r="AA409" s="5"/>
    </row>
    <row r="410" spans="1:27" x14ac:dyDescent="0.3">
      <c r="A410">
        <v>1</v>
      </c>
      <c r="B410">
        <v>660</v>
      </c>
      <c r="C410">
        <v>4000</v>
      </c>
      <c r="D410">
        <v>44424</v>
      </c>
      <c r="E410">
        <v>100897</v>
      </c>
      <c r="F410">
        <v>20756</v>
      </c>
      <c r="G410">
        <v>1181</v>
      </c>
      <c r="H410">
        <v>4000</v>
      </c>
      <c r="I410">
        <v>0</v>
      </c>
      <c r="J410">
        <v>43</v>
      </c>
      <c r="K410">
        <v>6676</v>
      </c>
      <c r="L410">
        <v>1748</v>
      </c>
      <c r="M410">
        <v>13.7</v>
      </c>
      <c r="O410" s="7"/>
      <c r="P410" s="13"/>
      <c r="Q410" s="14"/>
      <c r="R410" s="13"/>
      <c r="S410" s="2"/>
      <c r="T410" s="2"/>
      <c r="U410" s="2"/>
      <c r="V410" s="14"/>
      <c r="W410" s="2"/>
      <c r="X410" s="2"/>
      <c r="Y410" s="2"/>
      <c r="Z410" s="2"/>
      <c r="AA410" s="2"/>
    </row>
    <row r="411" spans="1:27" x14ac:dyDescent="0.3">
      <c r="A411">
        <v>3</v>
      </c>
      <c r="B411">
        <v>532</v>
      </c>
      <c r="C411">
        <v>4000</v>
      </c>
      <c r="D411">
        <v>35699</v>
      </c>
      <c r="E411">
        <v>80397</v>
      </c>
      <c r="F411">
        <v>16132</v>
      </c>
      <c r="G411">
        <v>2596</v>
      </c>
      <c r="H411">
        <v>4000</v>
      </c>
      <c r="I411">
        <v>0</v>
      </c>
      <c r="J411">
        <v>126</v>
      </c>
      <c r="K411">
        <v>28088</v>
      </c>
      <c r="L411">
        <v>6111</v>
      </c>
      <c r="M411">
        <v>42.6</v>
      </c>
      <c r="O411" s="1"/>
      <c r="P411" s="8"/>
      <c r="Q411" s="9"/>
      <c r="R411" s="8"/>
      <c r="S411" s="10"/>
      <c r="T411" s="11"/>
      <c r="U411" s="11"/>
      <c r="V411" s="9"/>
      <c r="W411" s="12"/>
      <c r="X411" s="12"/>
      <c r="Y411" s="12"/>
      <c r="Z411" s="1"/>
      <c r="AA411" s="12"/>
    </row>
    <row r="412" spans="1:27" x14ac:dyDescent="0.3">
      <c r="A412">
        <v>9</v>
      </c>
      <c r="B412">
        <v>623</v>
      </c>
      <c r="C412">
        <v>4000</v>
      </c>
      <c r="D412">
        <v>42315</v>
      </c>
      <c r="E412">
        <v>95913</v>
      </c>
      <c r="F412">
        <v>19966</v>
      </c>
      <c r="G412">
        <v>2116</v>
      </c>
      <c r="H412">
        <v>4000</v>
      </c>
      <c r="I412">
        <v>4</v>
      </c>
      <c r="J412">
        <v>316</v>
      </c>
      <c r="K412">
        <v>24581</v>
      </c>
      <c r="L412">
        <v>6151</v>
      </c>
      <c r="M412">
        <v>45.3</v>
      </c>
      <c r="O412" s="1"/>
      <c r="P412" s="8"/>
      <c r="Q412" s="9"/>
      <c r="R412" s="8"/>
      <c r="S412" s="10"/>
      <c r="T412" s="11"/>
      <c r="U412" s="11"/>
      <c r="V412" s="9"/>
      <c r="W412" s="12"/>
      <c r="X412" s="12"/>
      <c r="Y412" s="12"/>
      <c r="Z412" s="1"/>
      <c r="AA412" s="12"/>
    </row>
    <row r="413" spans="1:27" x14ac:dyDescent="0.3">
      <c r="A413">
        <v>12</v>
      </c>
      <c r="B413">
        <v>698</v>
      </c>
      <c r="C413">
        <v>4000</v>
      </c>
      <c r="D413">
        <v>47108</v>
      </c>
      <c r="E413">
        <v>107178</v>
      </c>
      <c r="F413">
        <v>22849</v>
      </c>
      <c r="G413">
        <v>1802</v>
      </c>
      <c r="H413">
        <v>4000</v>
      </c>
      <c r="I413">
        <v>0</v>
      </c>
      <c r="J413">
        <v>60</v>
      </c>
      <c r="K413">
        <v>12272</v>
      </c>
      <c r="L413">
        <v>3764</v>
      </c>
      <c r="M413">
        <v>17.3</v>
      </c>
    </row>
    <row r="414" spans="1:27" x14ac:dyDescent="0.3">
      <c r="A414">
        <v>14</v>
      </c>
      <c r="B414">
        <v>589</v>
      </c>
      <c r="C414">
        <v>4000</v>
      </c>
      <c r="D414">
        <v>39942</v>
      </c>
      <c r="E414">
        <v>90092</v>
      </c>
      <c r="F414">
        <v>18276</v>
      </c>
      <c r="G414">
        <v>1863</v>
      </c>
      <c r="H414">
        <v>4000</v>
      </c>
      <c r="I414">
        <v>17</v>
      </c>
      <c r="J414">
        <v>167</v>
      </c>
      <c r="K414">
        <v>22873</v>
      </c>
      <c r="L414">
        <v>5777</v>
      </c>
      <c r="M414">
        <v>43</v>
      </c>
      <c r="R414" s="17"/>
      <c r="Z414" s="1"/>
    </row>
    <row r="415" spans="1:27" x14ac:dyDescent="0.3">
      <c r="A415">
        <v>23</v>
      </c>
      <c r="B415">
        <v>615</v>
      </c>
      <c r="C415">
        <v>4000</v>
      </c>
      <c r="D415">
        <v>41868</v>
      </c>
      <c r="E415">
        <v>94870</v>
      </c>
      <c r="F415">
        <v>20361</v>
      </c>
      <c r="G415">
        <v>2220</v>
      </c>
      <c r="H415">
        <v>4000</v>
      </c>
      <c r="I415">
        <v>0</v>
      </c>
      <c r="J415">
        <v>154</v>
      </c>
      <c r="K415">
        <v>19600</v>
      </c>
      <c r="L415">
        <v>5167</v>
      </c>
      <c r="M415">
        <v>34.799999999999997</v>
      </c>
    </row>
    <row r="416" spans="1:27" x14ac:dyDescent="0.3">
      <c r="A416">
        <v>26</v>
      </c>
      <c r="B416">
        <v>745</v>
      </c>
      <c r="C416">
        <v>4000</v>
      </c>
      <c r="D416">
        <v>50415</v>
      </c>
      <c r="E416">
        <v>114962</v>
      </c>
      <c r="F416">
        <v>24474</v>
      </c>
      <c r="G416">
        <v>422</v>
      </c>
      <c r="H416">
        <v>4000</v>
      </c>
      <c r="I416">
        <v>0</v>
      </c>
      <c r="J416">
        <v>9</v>
      </c>
      <c r="K416">
        <v>1747</v>
      </c>
      <c r="L416">
        <v>537</v>
      </c>
      <c r="M416">
        <v>4.2</v>
      </c>
    </row>
    <row r="417" spans="1:13" x14ac:dyDescent="0.3">
      <c r="A417">
        <v>34</v>
      </c>
      <c r="B417">
        <v>708</v>
      </c>
      <c r="C417">
        <v>4000</v>
      </c>
      <c r="D417">
        <v>48088</v>
      </c>
      <c r="E417">
        <v>109397</v>
      </c>
      <c r="F417">
        <v>22749</v>
      </c>
      <c r="G417">
        <v>214</v>
      </c>
      <c r="H417">
        <v>4000</v>
      </c>
      <c r="I417">
        <v>0</v>
      </c>
      <c r="J417">
        <v>0</v>
      </c>
      <c r="K417">
        <v>2161</v>
      </c>
      <c r="L417">
        <v>258</v>
      </c>
      <c r="M417">
        <v>2.5</v>
      </c>
    </row>
    <row r="418" spans="1:13" x14ac:dyDescent="0.3">
      <c r="A418">
        <v>37</v>
      </c>
      <c r="B418">
        <v>754</v>
      </c>
      <c r="C418">
        <v>4000</v>
      </c>
      <c r="D418">
        <v>50866</v>
      </c>
      <c r="E418">
        <v>116349</v>
      </c>
      <c r="F418">
        <v>24718</v>
      </c>
      <c r="G418">
        <v>105</v>
      </c>
      <c r="H418">
        <v>4000</v>
      </c>
      <c r="I418">
        <v>0</v>
      </c>
      <c r="J418">
        <v>0</v>
      </c>
      <c r="K418">
        <v>476</v>
      </c>
      <c r="L418">
        <v>149</v>
      </c>
      <c r="M418">
        <v>0.9</v>
      </c>
    </row>
    <row r="419" spans="1:13" x14ac:dyDescent="0.3">
      <c r="A419">
        <v>41</v>
      </c>
      <c r="B419">
        <v>686</v>
      </c>
      <c r="C419">
        <v>4000</v>
      </c>
      <c r="D419">
        <v>46392</v>
      </c>
      <c r="E419">
        <v>105135</v>
      </c>
      <c r="F419">
        <v>21971</v>
      </c>
      <c r="G419">
        <v>697</v>
      </c>
      <c r="H419">
        <v>4000</v>
      </c>
      <c r="I419">
        <v>0</v>
      </c>
      <c r="J419">
        <v>5</v>
      </c>
      <c r="K419">
        <v>2900</v>
      </c>
      <c r="L419">
        <v>848</v>
      </c>
      <c r="M419">
        <v>3.7</v>
      </c>
    </row>
    <row r="420" spans="1:13" x14ac:dyDescent="0.3">
      <c r="A420">
        <v>43</v>
      </c>
      <c r="B420">
        <v>634</v>
      </c>
      <c r="C420">
        <v>4000</v>
      </c>
      <c r="D420">
        <v>43031</v>
      </c>
      <c r="E420">
        <v>97962</v>
      </c>
      <c r="F420">
        <v>19973</v>
      </c>
      <c r="G420">
        <v>2108</v>
      </c>
      <c r="H420">
        <v>4000</v>
      </c>
      <c r="I420">
        <v>6</v>
      </c>
      <c r="J420">
        <v>230</v>
      </c>
      <c r="K420">
        <v>15939</v>
      </c>
      <c r="L420">
        <v>4247</v>
      </c>
      <c r="M420">
        <v>28.1</v>
      </c>
    </row>
    <row r="421" spans="1:13" x14ac:dyDescent="0.3">
      <c r="A421">
        <v>47</v>
      </c>
      <c r="B421">
        <v>596</v>
      </c>
      <c r="C421">
        <v>4000</v>
      </c>
      <c r="D421">
        <v>39979</v>
      </c>
      <c r="E421">
        <v>90248</v>
      </c>
      <c r="F421">
        <v>18491</v>
      </c>
      <c r="G421">
        <v>2858</v>
      </c>
      <c r="H421">
        <v>4000</v>
      </c>
      <c r="I421">
        <v>0</v>
      </c>
      <c r="J421">
        <v>231</v>
      </c>
      <c r="K421">
        <v>45956</v>
      </c>
      <c r="L421">
        <v>10485</v>
      </c>
      <c r="M421">
        <v>63.5</v>
      </c>
    </row>
    <row r="422" spans="1:13" x14ac:dyDescent="0.3">
      <c r="A422">
        <v>54</v>
      </c>
      <c r="B422">
        <v>590</v>
      </c>
      <c r="C422">
        <v>4000</v>
      </c>
      <c r="D422">
        <v>40096</v>
      </c>
      <c r="E422">
        <v>90400</v>
      </c>
      <c r="F422">
        <v>18739</v>
      </c>
      <c r="G422">
        <v>2088</v>
      </c>
      <c r="H422">
        <v>4000</v>
      </c>
      <c r="I422">
        <v>0</v>
      </c>
      <c r="J422">
        <v>263</v>
      </c>
      <c r="K422">
        <v>38832</v>
      </c>
      <c r="L422">
        <v>8108</v>
      </c>
      <c r="M422">
        <v>58.6</v>
      </c>
    </row>
    <row r="423" spans="1:13" x14ac:dyDescent="0.3">
      <c r="A423">
        <v>57</v>
      </c>
      <c r="B423">
        <v>481</v>
      </c>
      <c r="C423">
        <v>4000</v>
      </c>
      <c r="D423">
        <v>32389</v>
      </c>
      <c r="E423">
        <v>72551</v>
      </c>
      <c r="F423">
        <v>14396</v>
      </c>
      <c r="G423">
        <v>2381</v>
      </c>
      <c r="H423">
        <v>4000</v>
      </c>
      <c r="I423">
        <v>0</v>
      </c>
      <c r="J423">
        <v>191</v>
      </c>
      <c r="K423">
        <v>24510</v>
      </c>
      <c r="L423">
        <v>4616</v>
      </c>
      <c r="M423">
        <v>37.799999999999997</v>
      </c>
    </row>
    <row r="424" spans="1:13" x14ac:dyDescent="0.3">
      <c r="A424">
        <v>63</v>
      </c>
      <c r="B424">
        <v>511</v>
      </c>
      <c r="C424">
        <v>4000</v>
      </c>
      <c r="D424">
        <v>34799</v>
      </c>
      <c r="E424">
        <v>77941</v>
      </c>
      <c r="F424">
        <v>16144</v>
      </c>
      <c r="G424">
        <v>1323</v>
      </c>
      <c r="H424">
        <v>4000</v>
      </c>
      <c r="I424">
        <v>0</v>
      </c>
      <c r="J424">
        <v>59</v>
      </c>
      <c r="K424">
        <v>9892</v>
      </c>
      <c r="L424">
        <v>2152</v>
      </c>
      <c r="M424">
        <v>22.2</v>
      </c>
    </row>
    <row r="425" spans="1:13" x14ac:dyDescent="0.3">
      <c r="A425">
        <v>69</v>
      </c>
      <c r="B425">
        <v>641</v>
      </c>
      <c r="C425">
        <v>4000</v>
      </c>
      <c r="D425">
        <v>42787</v>
      </c>
      <c r="E425">
        <v>97759</v>
      </c>
      <c r="F425">
        <v>19723</v>
      </c>
      <c r="G425">
        <v>1603</v>
      </c>
      <c r="H425">
        <v>4000</v>
      </c>
      <c r="I425">
        <v>0</v>
      </c>
      <c r="J425">
        <v>122</v>
      </c>
      <c r="K425">
        <v>12839</v>
      </c>
      <c r="L425">
        <v>2922</v>
      </c>
      <c r="M425">
        <v>15.7</v>
      </c>
    </row>
    <row r="426" spans="1:13" x14ac:dyDescent="0.3">
      <c r="A426">
        <v>77</v>
      </c>
      <c r="B426">
        <v>607</v>
      </c>
      <c r="C426">
        <v>4000</v>
      </c>
      <c r="D426">
        <v>41189</v>
      </c>
      <c r="E426">
        <v>93071</v>
      </c>
      <c r="F426">
        <v>19298</v>
      </c>
      <c r="G426">
        <v>298</v>
      </c>
      <c r="H426">
        <v>4000</v>
      </c>
      <c r="I426">
        <v>0</v>
      </c>
      <c r="J426">
        <v>12</v>
      </c>
      <c r="K426">
        <v>1273</v>
      </c>
      <c r="L426">
        <v>332</v>
      </c>
      <c r="M426">
        <v>2.8</v>
      </c>
    </row>
    <row r="427" spans="1:13" x14ac:dyDescent="0.3">
      <c r="A427">
        <v>78</v>
      </c>
      <c r="B427">
        <v>680</v>
      </c>
      <c r="C427">
        <v>4000</v>
      </c>
      <c r="D427">
        <v>45900</v>
      </c>
      <c r="E427">
        <v>103949</v>
      </c>
      <c r="F427">
        <v>21389</v>
      </c>
      <c r="G427">
        <v>2084</v>
      </c>
      <c r="H427">
        <v>4000</v>
      </c>
      <c r="I427">
        <v>0</v>
      </c>
      <c r="J427">
        <v>214</v>
      </c>
      <c r="K427">
        <v>20797</v>
      </c>
      <c r="L427">
        <v>5731</v>
      </c>
      <c r="M427">
        <v>34.799999999999997</v>
      </c>
    </row>
    <row r="428" spans="1:13" x14ac:dyDescent="0.3">
      <c r="A428">
        <v>80</v>
      </c>
      <c r="B428">
        <v>691</v>
      </c>
      <c r="C428">
        <v>4000</v>
      </c>
      <c r="D428">
        <v>46903</v>
      </c>
      <c r="E428">
        <v>106470</v>
      </c>
      <c r="F428">
        <v>22279</v>
      </c>
      <c r="G428">
        <v>1586</v>
      </c>
      <c r="H428">
        <v>4000</v>
      </c>
      <c r="I428">
        <v>0</v>
      </c>
      <c r="J428">
        <v>236</v>
      </c>
      <c r="K428">
        <v>15960</v>
      </c>
      <c r="L428">
        <v>4325</v>
      </c>
      <c r="M428">
        <v>24.5</v>
      </c>
    </row>
    <row r="429" spans="1:13" x14ac:dyDescent="0.3">
      <c r="A429">
        <v>83</v>
      </c>
      <c r="B429">
        <v>563</v>
      </c>
      <c r="C429">
        <v>4000</v>
      </c>
      <c r="D429">
        <v>38522</v>
      </c>
      <c r="E429">
        <v>86592</v>
      </c>
      <c r="F429">
        <v>17844</v>
      </c>
      <c r="G429">
        <v>2237</v>
      </c>
      <c r="H429">
        <v>4000</v>
      </c>
      <c r="I429">
        <v>26</v>
      </c>
      <c r="J429">
        <v>109</v>
      </c>
      <c r="K429">
        <v>23083</v>
      </c>
      <c r="L429">
        <v>4914</v>
      </c>
      <c r="M429">
        <v>43</v>
      </c>
    </row>
    <row r="430" spans="1:13" x14ac:dyDescent="0.3">
      <c r="A430">
        <v>85</v>
      </c>
      <c r="B430">
        <v>691</v>
      </c>
      <c r="C430">
        <v>4000</v>
      </c>
      <c r="D430">
        <v>47035</v>
      </c>
      <c r="E430">
        <v>106587</v>
      </c>
      <c r="F430">
        <v>22402</v>
      </c>
      <c r="G430">
        <v>1608</v>
      </c>
      <c r="H430">
        <v>4000</v>
      </c>
      <c r="I430">
        <v>0</v>
      </c>
      <c r="J430">
        <v>45</v>
      </c>
      <c r="K430">
        <v>9869</v>
      </c>
      <c r="L430">
        <v>2535</v>
      </c>
      <c r="M430">
        <v>16.899999999999999</v>
      </c>
    </row>
    <row r="431" spans="1:13" x14ac:dyDescent="0.3">
      <c r="A431">
        <v>88</v>
      </c>
      <c r="B431">
        <v>567</v>
      </c>
      <c r="C431">
        <v>4000</v>
      </c>
      <c r="D431">
        <v>38128</v>
      </c>
      <c r="E431">
        <v>85926</v>
      </c>
      <c r="F431">
        <v>16972</v>
      </c>
      <c r="G431">
        <v>2840</v>
      </c>
      <c r="H431">
        <v>4000</v>
      </c>
      <c r="I431">
        <v>2</v>
      </c>
      <c r="J431">
        <v>305</v>
      </c>
      <c r="K431">
        <v>40533</v>
      </c>
      <c r="L431">
        <v>8476</v>
      </c>
      <c r="M431">
        <v>54.5</v>
      </c>
    </row>
    <row r="432" spans="1:13" x14ac:dyDescent="0.3">
      <c r="A432">
        <v>93</v>
      </c>
      <c r="B432">
        <v>520</v>
      </c>
      <c r="C432">
        <v>4000</v>
      </c>
      <c r="D432">
        <v>35201</v>
      </c>
      <c r="E432">
        <v>78771</v>
      </c>
      <c r="F432">
        <v>15588</v>
      </c>
      <c r="G432">
        <v>2439</v>
      </c>
      <c r="H432">
        <v>4000</v>
      </c>
      <c r="I432">
        <v>0</v>
      </c>
      <c r="J432">
        <v>218</v>
      </c>
      <c r="K432">
        <v>24042</v>
      </c>
      <c r="L432">
        <v>5924</v>
      </c>
      <c r="M432">
        <v>36.799999999999997</v>
      </c>
    </row>
    <row r="433" spans="1:13" x14ac:dyDescent="0.3">
      <c r="A433">
        <v>95</v>
      </c>
      <c r="B433">
        <v>560</v>
      </c>
      <c r="C433">
        <v>4000</v>
      </c>
      <c r="D433">
        <v>38217</v>
      </c>
      <c r="E433">
        <v>85516</v>
      </c>
      <c r="F433">
        <v>17980</v>
      </c>
      <c r="G433">
        <v>1440</v>
      </c>
      <c r="H433">
        <v>4000</v>
      </c>
      <c r="I433">
        <v>0</v>
      </c>
      <c r="J433">
        <v>41</v>
      </c>
      <c r="K433">
        <v>7462</v>
      </c>
      <c r="L433">
        <v>2038</v>
      </c>
      <c r="M433">
        <v>14.2</v>
      </c>
    </row>
    <row r="434" spans="1:13" x14ac:dyDescent="0.3">
      <c r="A434">
        <v>4</v>
      </c>
      <c r="B434">
        <v>588</v>
      </c>
      <c r="C434">
        <v>3986</v>
      </c>
      <c r="D434">
        <v>39716</v>
      </c>
      <c r="E434">
        <v>90164</v>
      </c>
      <c r="F434">
        <v>18137</v>
      </c>
      <c r="G434">
        <v>1758</v>
      </c>
      <c r="H434">
        <v>3986</v>
      </c>
      <c r="I434">
        <v>0</v>
      </c>
      <c r="J434">
        <v>45</v>
      </c>
      <c r="K434">
        <v>13245</v>
      </c>
      <c r="L434">
        <v>3226</v>
      </c>
      <c r="M434">
        <v>20.6</v>
      </c>
    </row>
    <row r="435" spans="1:13" x14ac:dyDescent="0.3">
      <c r="A435">
        <v>2</v>
      </c>
      <c r="B435">
        <v>9</v>
      </c>
      <c r="C435">
        <v>3242</v>
      </c>
      <c r="D435">
        <v>2252</v>
      </c>
      <c r="E435">
        <v>941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 x14ac:dyDescent="0.3">
      <c r="A436">
        <v>5</v>
      </c>
      <c r="B436">
        <v>2</v>
      </c>
      <c r="C436">
        <v>3457</v>
      </c>
      <c r="D436">
        <v>1842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 x14ac:dyDescent="0.3">
      <c r="A437">
        <v>6</v>
      </c>
      <c r="B437">
        <v>5</v>
      </c>
      <c r="C437">
        <v>3331</v>
      </c>
      <c r="D437">
        <v>2147</v>
      </c>
      <c r="E437">
        <v>369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 x14ac:dyDescent="0.3">
      <c r="A438">
        <v>7</v>
      </c>
      <c r="B438">
        <v>15</v>
      </c>
      <c r="C438">
        <v>2974</v>
      </c>
      <c r="D438">
        <v>2637</v>
      </c>
      <c r="E438">
        <v>1501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 x14ac:dyDescent="0.3">
      <c r="A439">
        <v>8</v>
      </c>
      <c r="B439">
        <v>12</v>
      </c>
      <c r="C439">
        <v>3103</v>
      </c>
      <c r="D439">
        <v>2534</v>
      </c>
      <c r="E439">
        <v>1229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</row>
    <row r="440" spans="1:13" x14ac:dyDescent="0.3">
      <c r="A440">
        <v>10</v>
      </c>
      <c r="B440">
        <v>9</v>
      </c>
      <c r="C440">
        <v>3240</v>
      </c>
      <c r="D440">
        <v>2342</v>
      </c>
      <c r="E440">
        <v>945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 x14ac:dyDescent="0.3">
      <c r="A441">
        <v>11</v>
      </c>
      <c r="B441">
        <v>23</v>
      </c>
      <c r="C441">
        <v>2605</v>
      </c>
      <c r="D441">
        <v>3075</v>
      </c>
      <c r="E441">
        <v>2074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 x14ac:dyDescent="0.3">
      <c r="A442">
        <v>13</v>
      </c>
      <c r="B442">
        <v>9</v>
      </c>
      <c r="C442">
        <v>3248</v>
      </c>
      <c r="D442">
        <v>2273</v>
      </c>
      <c r="E442">
        <v>926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 x14ac:dyDescent="0.3">
      <c r="A443">
        <v>15</v>
      </c>
      <c r="B443">
        <v>0</v>
      </c>
      <c r="C443">
        <v>3781</v>
      </c>
      <c r="D443">
        <v>1668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</row>
    <row r="444" spans="1:13" x14ac:dyDescent="0.3">
      <c r="A444">
        <v>16</v>
      </c>
      <c r="B444">
        <v>20</v>
      </c>
      <c r="C444">
        <v>2789</v>
      </c>
      <c r="D444">
        <v>2847</v>
      </c>
      <c r="E444">
        <v>1835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 x14ac:dyDescent="0.3">
      <c r="A445">
        <v>17</v>
      </c>
      <c r="B445">
        <v>13</v>
      </c>
      <c r="C445">
        <v>3012</v>
      </c>
      <c r="D445">
        <v>2574</v>
      </c>
      <c r="E445">
        <v>1320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 x14ac:dyDescent="0.3">
      <c r="A446">
        <v>18</v>
      </c>
      <c r="B446">
        <v>17</v>
      </c>
      <c r="C446">
        <v>2741</v>
      </c>
      <c r="D446">
        <v>2762</v>
      </c>
      <c r="E446">
        <v>1549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 x14ac:dyDescent="0.3">
      <c r="A447">
        <v>19</v>
      </c>
      <c r="B447">
        <v>6</v>
      </c>
      <c r="C447">
        <v>3375</v>
      </c>
      <c r="D447">
        <v>2175</v>
      </c>
      <c r="E447">
        <v>568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 x14ac:dyDescent="0.3">
      <c r="A448">
        <v>20</v>
      </c>
      <c r="B448">
        <v>1</v>
      </c>
      <c r="C448">
        <v>3614</v>
      </c>
      <c r="D448">
        <v>1785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 x14ac:dyDescent="0.3">
      <c r="A449">
        <v>21</v>
      </c>
      <c r="B449">
        <v>15</v>
      </c>
      <c r="C449">
        <v>2978</v>
      </c>
      <c r="D449">
        <v>2673</v>
      </c>
      <c r="E449">
        <v>1528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 x14ac:dyDescent="0.3">
      <c r="A450">
        <v>22</v>
      </c>
      <c r="B450">
        <v>18</v>
      </c>
      <c r="C450">
        <v>2817</v>
      </c>
      <c r="D450">
        <v>2806</v>
      </c>
      <c r="E450">
        <v>1623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 x14ac:dyDescent="0.3">
      <c r="A451">
        <v>24</v>
      </c>
      <c r="B451">
        <v>5</v>
      </c>
      <c r="C451">
        <v>3304</v>
      </c>
      <c r="D451">
        <v>2133</v>
      </c>
      <c r="E451">
        <v>335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 x14ac:dyDescent="0.3">
      <c r="A452">
        <v>25</v>
      </c>
      <c r="B452">
        <v>32</v>
      </c>
      <c r="C452">
        <v>2836</v>
      </c>
      <c r="D452">
        <v>3516</v>
      </c>
      <c r="E452">
        <v>3021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 x14ac:dyDescent="0.3">
      <c r="A453">
        <v>27</v>
      </c>
      <c r="B453">
        <v>1</v>
      </c>
      <c r="C453">
        <v>3592</v>
      </c>
      <c r="D453">
        <v>1748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 x14ac:dyDescent="0.3">
      <c r="A454">
        <v>28</v>
      </c>
      <c r="B454">
        <v>11</v>
      </c>
      <c r="C454">
        <v>3170</v>
      </c>
      <c r="D454">
        <v>2453</v>
      </c>
      <c r="E454">
        <v>1193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 x14ac:dyDescent="0.3">
      <c r="A455">
        <v>29</v>
      </c>
      <c r="B455">
        <v>26</v>
      </c>
      <c r="C455">
        <v>2793</v>
      </c>
      <c r="D455">
        <v>3122</v>
      </c>
      <c r="E455">
        <v>2374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 x14ac:dyDescent="0.3">
      <c r="A456">
        <v>30</v>
      </c>
      <c r="B456">
        <v>3</v>
      </c>
      <c r="C456">
        <v>3527</v>
      </c>
      <c r="D456">
        <v>1928</v>
      </c>
      <c r="E456">
        <v>232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 x14ac:dyDescent="0.3">
      <c r="A457">
        <v>31</v>
      </c>
      <c r="B457">
        <v>16</v>
      </c>
      <c r="C457">
        <v>2792</v>
      </c>
      <c r="D457">
        <v>2681</v>
      </c>
      <c r="E457">
        <v>1456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 x14ac:dyDescent="0.3">
      <c r="A458">
        <v>32</v>
      </c>
      <c r="B458">
        <v>8</v>
      </c>
      <c r="C458">
        <v>3255</v>
      </c>
      <c r="D458">
        <v>2318</v>
      </c>
      <c r="E458">
        <v>791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 x14ac:dyDescent="0.3">
      <c r="A459">
        <v>33</v>
      </c>
      <c r="B459">
        <v>35</v>
      </c>
      <c r="C459">
        <v>2610</v>
      </c>
      <c r="D459">
        <v>3614</v>
      </c>
      <c r="E459">
        <v>3052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 x14ac:dyDescent="0.3">
      <c r="A460">
        <v>35</v>
      </c>
      <c r="B460">
        <v>21</v>
      </c>
      <c r="C460">
        <v>2659</v>
      </c>
      <c r="D460">
        <v>2910</v>
      </c>
      <c r="E460">
        <v>1867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 x14ac:dyDescent="0.3">
      <c r="A461">
        <v>36</v>
      </c>
      <c r="B461">
        <v>5</v>
      </c>
      <c r="C461">
        <v>3316</v>
      </c>
      <c r="D461">
        <v>2082</v>
      </c>
      <c r="E461">
        <v>389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 x14ac:dyDescent="0.3">
      <c r="A462">
        <v>38</v>
      </c>
      <c r="B462">
        <v>7</v>
      </c>
      <c r="C462">
        <v>3309</v>
      </c>
      <c r="D462">
        <v>2238</v>
      </c>
      <c r="E462">
        <v>719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 x14ac:dyDescent="0.3">
      <c r="A463">
        <v>39</v>
      </c>
      <c r="B463">
        <v>0</v>
      </c>
      <c r="C463">
        <v>3792</v>
      </c>
      <c r="D463">
        <v>1677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 x14ac:dyDescent="0.3">
      <c r="A464">
        <v>40</v>
      </c>
      <c r="B464">
        <v>0</v>
      </c>
      <c r="C464">
        <v>3786</v>
      </c>
      <c r="D464">
        <v>1695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 x14ac:dyDescent="0.3">
      <c r="A465">
        <v>42</v>
      </c>
      <c r="B465">
        <v>5</v>
      </c>
      <c r="C465">
        <v>3351</v>
      </c>
      <c r="D465">
        <v>2138</v>
      </c>
      <c r="E465">
        <v>380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 x14ac:dyDescent="0.3">
      <c r="A466">
        <v>44</v>
      </c>
      <c r="B466">
        <v>4</v>
      </c>
      <c r="C466">
        <v>3473</v>
      </c>
      <c r="D466">
        <v>1966</v>
      </c>
      <c r="E466">
        <v>334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 x14ac:dyDescent="0.3">
      <c r="A467">
        <v>45</v>
      </c>
      <c r="B467">
        <v>8</v>
      </c>
      <c r="C467">
        <v>3264</v>
      </c>
      <c r="D467">
        <v>2325</v>
      </c>
      <c r="E467">
        <v>782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 x14ac:dyDescent="0.3">
      <c r="A468">
        <v>46</v>
      </c>
      <c r="B468">
        <v>6</v>
      </c>
      <c r="C468">
        <v>3327</v>
      </c>
      <c r="D468">
        <v>2221</v>
      </c>
      <c r="E468">
        <v>574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 x14ac:dyDescent="0.3">
      <c r="A469">
        <v>48</v>
      </c>
      <c r="B469">
        <v>8</v>
      </c>
      <c r="C469">
        <v>3243</v>
      </c>
      <c r="D469">
        <v>2281</v>
      </c>
      <c r="E469">
        <v>788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 x14ac:dyDescent="0.3">
      <c r="A470">
        <v>49</v>
      </c>
      <c r="B470">
        <v>7</v>
      </c>
      <c r="C470">
        <v>3384</v>
      </c>
      <c r="D470">
        <v>2217</v>
      </c>
      <c r="E470">
        <v>695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 x14ac:dyDescent="0.3">
      <c r="A471">
        <v>50</v>
      </c>
      <c r="B471">
        <v>22</v>
      </c>
      <c r="C471">
        <v>2835</v>
      </c>
      <c r="D471">
        <v>2956</v>
      </c>
      <c r="E471">
        <v>2081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x14ac:dyDescent="0.3">
      <c r="A472">
        <v>51</v>
      </c>
      <c r="B472">
        <v>4</v>
      </c>
      <c r="C472">
        <v>3485</v>
      </c>
      <c r="D472">
        <v>1928</v>
      </c>
      <c r="E472">
        <v>340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 x14ac:dyDescent="0.3">
      <c r="A473">
        <v>52</v>
      </c>
      <c r="B473">
        <v>11</v>
      </c>
      <c r="C473">
        <v>3176</v>
      </c>
      <c r="D473">
        <v>2467</v>
      </c>
      <c r="E473">
        <v>1191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 x14ac:dyDescent="0.3">
      <c r="A474">
        <v>53</v>
      </c>
      <c r="B474">
        <v>15</v>
      </c>
      <c r="C474">
        <v>2947</v>
      </c>
      <c r="D474">
        <v>2686</v>
      </c>
      <c r="E474">
        <v>1457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 x14ac:dyDescent="0.3">
      <c r="A475">
        <v>55</v>
      </c>
      <c r="B475">
        <v>0</v>
      </c>
      <c r="C475">
        <v>3803</v>
      </c>
      <c r="D475">
        <v>1672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 x14ac:dyDescent="0.3">
      <c r="A476">
        <v>56</v>
      </c>
      <c r="B476">
        <v>15</v>
      </c>
      <c r="C476">
        <v>2955</v>
      </c>
      <c r="D476">
        <v>2670</v>
      </c>
      <c r="E476">
        <v>1468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 x14ac:dyDescent="0.3">
      <c r="A477">
        <v>58</v>
      </c>
      <c r="B477">
        <v>7</v>
      </c>
      <c r="C477">
        <v>3325</v>
      </c>
      <c r="D477">
        <v>2234</v>
      </c>
      <c r="E477">
        <v>762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 x14ac:dyDescent="0.3">
      <c r="A478">
        <v>59</v>
      </c>
      <c r="B478">
        <v>3</v>
      </c>
      <c r="C478">
        <v>3491</v>
      </c>
      <c r="D478">
        <v>1861</v>
      </c>
      <c r="E478">
        <v>196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 x14ac:dyDescent="0.3">
      <c r="A479">
        <v>60</v>
      </c>
      <c r="B479">
        <v>8</v>
      </c>
      <c r="C479">
        <v>3277</v>
      </c>
      <c r="D479">
        <v>2298</v>
      </c>
      <c r="E479">
        <v>819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 x14ac:dyDescent="0.3">
      <c r="A480">
        <v>61</v>
      </c>
      <c r="B480">
        <v>7</v>
      </c>
      <c r="C480">
        <v>3229</v>
      </c>
      <c r="D480">
        <v>2174</v>
      </c>
      <c r="E480">
        <v>658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 x14ac:dyDescent="0.3">
      <c r="A481">
        <v>62</v>
      </c>
      <c r="B481">
        <v>2</v>
      </c>
      <c r="C481">
        <v>3467</v>
      </c>
      <c r="D481">
        <v>1846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 x14ac:dyDescent="0.3">
      <c r="A482">
        <v>64</v>
      </c>
      <c r="B482">
        <v>23</v>
      </c>
      <c r="C482">
        <v>2713</v>
      </c>
      <c r="D482">
        <v>3069</v>
      </c>
      <c r="E482">
        <v>2128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 x14ac:dyDescent="0.3">
      <c r="A483">
        <v>65</v>
      </c>
      <c r="B483">
        <v>12</v>
      </c>
      <c r="C483">
        <v>3079</v>
      </c>
      <c r="D483">
        <v>2508</v>
      </c>
      <c r="E483">
        <v>1240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 x14ac:dyDescent="0.3">
      <c r="A484">
        <v>66</v>
      </c>
      <c r="B484">
        <v>4</v>
      </c>
      <c r="C484">
        <v>3429</v>
      </c>
      <c r="D484">
        <v>1891</v>
      </c>
      <c r="E484">
        <v>303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 x14ac:dyDescent="0.3">
      <c r="A485">
        <v>67</v>
      </c>
      <c r="B485">
        <v>12</v>
      </c>
      <c r="C485">
        <v>3116</v>
      </c>
      <c r="D485">
        <v>2492</v>
      </c>
      <c r="E485">
        <v>1270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 x14ac:dyDescent="0.3">
      <c r="A486">
        <v>68</v>
      </c>
      <c r="B486">
        <v>4</v>
      </c>
      <c r="C486">
        <v>3531</v>
      </c>
      <c r="D486">
        <v>1937</v>
      </c>
      <c r="E486">
        <v>339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 x14ac:dyDescent="0.3">
      <c r="A487">
        <v>70</v>
      </c>
      <c r="B487">
        <v>1</v>
      </c>
      <c r="C487">
        <v>3630</v>
      </c>
      <c r="D487">
        <v>1745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 x14ac:dyDescent="0.3">
      <c r="A488">
        <v>71</v>
      </c>
      <c r="B488">
        <v>0</v>
      </c>
      <c r="C488">
        <v>3808</v>
      </c>
      <c r="D488">
        <v>1676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</row>
    <row r="489" spans="1:13" x14ac:dyDescent="0.3">
      <c r="A489">
        <v>72</v>
      </c>
      <c r="B489">
        <v>26</v>
      </c>
      <c r="C489">
        <v>2600</v>
      </c>
      <c r="D489">
        <v>3232</v>
      </c>
      <c r="E489">
        <v>2329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 x14ac:dyDescent="0.3">
      <c r="A490">
        <v>73</v>
      </c>
      <c r="B490">
        <v>1</v>
      </c>
      <c r="C490">
        <v>3610</v>
      </c>
      <c r="D490">
        <v>1760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 x14ac:dyDescent="0.3">
      <c r="A491">
        <v>74</v>
      </c>
      <c r="B491">
        <v>3</v>
      </c>
      <c r="C491">
        <v>3505</v>
      </c>
      <c r="D491">
        <v>1875</v>
      </c>
      <c r="E491">
        <v>204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 x14ac:dyDescent="0.3">
      <c r="A492">
        <v>75</v>
      </c>
      <c r="B492">
        <v>15</v>
      </c>
      <c r="C492">
        <v>2966</v>
      </c>
      <c r="D492">
        <v>2675</v>
      </c>
      <c r="E492">
        <v>1486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 x14ac:dyDescent="0.3">
      <c r="A493">
        <v>76</v>
      </c>
      <c r="B493">
        <v>1</v>
      </c>
      <c r="C493">
        <v>3618</v>
      </c>
      <c r="D493">
        <v>1719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 x14ac:dyDescent="0.3">
      <c r="A494">
        <v>79</v>
      </c>
      <c r="B494">
        <v>20</v>
      </c>
      <c r="C494">
        <v>2734</v>
      </c>
      <c r="D494">
        <v>2904</v>
      </c>
      <c r="E494">
        <v>1859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 x14ac:dyDescent="0.3">
      <c r="A495">
        <v>81</v>
      </c>
      <c r="B495">
        <v>6</v>
      </c>
      <c r="C495">
        <v>3372</v>
      </c>
      <c r="D495">
        <v>2136</v>
      </c>
      <c r="E495">
        <v>529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 x14ac:dyDescent="0.3">
      <c r="A496">
        <v>82</v>
      </c>
      <c r="B496">
        <v>22</v>
      </c>
      <c r="C496">
        <v>2720</v>
      </c>
      <c r="D496">
        <v>2981</v>
      </c>
      <c r="E496">
        <v>2074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 x14ac:dyDescent="0.3">
      <c r="A497">
        <v>84</v>
      </c>
      <c r="B497">
        <v>21</v>
      </c>
      <c r="C497">
        <v>2839</v>
      </c>
      <c r="D497">
        <v>2878</v>
      </c>
      <c r="E497">
        <v>2009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 x14ac:dyDescent="0.3">
      <c r="A498">
        <v>86</v>
      </c>
      <c r="B498">
        <v>4</v>
      </c>
      <c r="C498">
        <v>3477</v>
      </c>
      <c r="D498">
        <v>1930</v>
      </c>
      <c r="E498">
        <v>321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 x14ac:dyDescent="0.3">
      <c r="A499">
        <v>87</v>
      </c>
      <c r="B499">
        <v>0</v>
      </c>
      <c r="C499">
        <v>3790</v>
      </c>
      <c r="D499">
        <v>1673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 x14ac:dyDescent="0.3">
      <c r="A500">
        <v>89</v>
      </c>
      <c r="B500">
        <v>12</v>
      </c>
      <c r="C500">
        <v>3024</v>
      </c>
      <c r="D500">
        <v>2527</v>
      </c>
      <c r="E500">
        <v>1209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 x14ac:dyDescent="0.3">
      <c r="A501">
        <v>90</v>
      </c>
      <c r="B501">
        <v>2</v>
      </c>
      <c r="C501">
        <v>3481</v>
      </c>
      <c r="D501">
        <v>1810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 x14ac:dyDescent="0.3">
      <c r="A502">
        <v>91</v>
      </c>
      <c r="B502">
        <v>4</v>
      </c>
      <c r="C502">
        <v>3487</v>
      </c>
      <c r="D502">
        <v>1956</v>
      </c>
      <c r="E502">
        <v>310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 x14ac:dyDescent="0.3">
      <c r="A503">
        <v>92</v>
      </c>
      <c r="B503">
        <v>9</v>
      </c>
      <c r="C503">
        <v>3166</v>
      </c>
      <c r="D503">
        <v>2285</v>
      </c>
      <c r="E503">
        <v>873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 x14ac:dyDescent="0.3">
      <c r="A504">
        <v>94</v>
      </c>
      <c r="B504">
        <v>2</v>
      </c>
      <c r="C504">
        <v>3460</v>
      </c>
      <c r="D504">
        <v>1829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 x14ac:dyDescent="0.3">
      <c r="A505">
        <v>96</v>
      </c>
      <c r="B505">
        <v>1</v>
      </c>
      <c r="C505">
        <v>3620</v>
      </c>
      <c r="D505">
        <v>1764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 x14ac:dyDescent="0.3">
      <c r="A506">
        <v>97</v>
      </c>
      <c r="B506">
        <v>1</v>
      </c>
      <c r="C506">
        <v>3629</v>
      </c>
      <c r="D506">
        <v>1755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 x14ac:dyDescent="0.3">
      <c r="A507">
        <v>98</v>
      </c>
      <c r="B507">
        <v>2</v>
      </c>
      <c r="C507">
        <v>3485</v>
      </c>
      <c r="D507">
        <v>1839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 x14ac:dyDescent="0.3">
      <c r="A508">
        <v>99</v>
      </c>
      <c r="B508">
        <v>14</v>
      </c>
      <c r="C508">
        <v>3034</v>
      </c>
      <c r="D508">
        <v>2572</v>
      </c>
      <c r="E508">
        <v>1398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 x14ac:dyDescent="0.3">
      <c r="A509">
        <v>100</v>
      </c>
      <c r="B509">
        <v>83</v>
      </c>
      <c r="C509">
        <v>4000</v>
      </c>
      <c r="D509">
        <v>5852</v>
      </c>
      <c r="E509">
        <v>9260</v>
      </c>
      <c r="F509">
        <v>6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</row>
    <row r="511" spans="1:13" x14ac:dyDescent="0.3">
      <c r="A511" t="s">
        <v>0</v>
      </c>
      <c r="B511" t="s">
        <v>1</v>
      </c>
      <c r="C511" t="s">
        <v>2</v>
      </c>
      <c r="D511" t="s">
        <v>3</v>
      </c>
      <c r="E511" t="s">
        <v>4</v>
      </c>
      <c r="F511" t="s">
        <v>6</v>
      </c>
      <c r="G511" t="s">
        <v>7</v>
      </c>
      <c r="H511" t="s">
        <v>8</v>
      </c>
      <c r="I511" t="s">
        <v>9</v>
      </c>
      <c r="J511" t="s">
        <v>11</v>
      </c>
      <c r="K511" t="s">
        <v>12</v>
      </c>
      <c r="L511" t="s">
        <v>13</v>
      </c>
      <c r="M511" t="s">
        <v>16</v>
      </c>
    </row>
    <row r="512" spans="1:13" x14ac:dyDescent="0.3">
      <c r="A512">
        <v>5</v>
      </c>
      <c r="B512">
        <v>550</v>
      </c>
      <c r="C512">
        <v>5000</v>
      </c>
      <c r="D512">
        <v>45846</v>
      </c>
      <c r="E512">
        <v>103021</v>
      </c>
      <c r="F512">
        <v>20299</v>
      </c>
      <c r="G512">
        <v>2977</v>
      </c>
      <c r="H512">
        <v>5000</v>
      </c>
      <c r="I512">
        <v>0</v>
      </c>
      <c r="J512">
        <v>239</v>
      </c>
      <c r="K512">
        <v>28455</v>
      </c>
      <c r="L512">
        <v>6888</v>
      </c>
      <c r="M512">
        <v>48.1</v>
      </c>
    </row>
    <row r="513" spans="1:13" x14ac:dyDescent="0.3">
      <c r="A513">
        <v>7</v>
      </c>
      <c r="B513">
        <v>658</v>
      </c>
      <c r="C513">
        <v>5000</v>
      </c>
      <c r="D513">
        <v>55375</v>
      </c>
      <c r="E513">
        <v>125506</v>
      </c>
      <c r="F513">
        <v>25786</v>
      </c>
      <c r="G513">
        <v>1554</v>
      </c>
      <c r="H513">
        <v>5000</v>
      </c>
      <c r="I513">
        <v>0</v>
      </c>
      <c r="J513">
        <v>98</v>
      </c>
      <c r="K513">
        <v>9473</v>
      </c>
      <c r="L513">
        <v>3055</v>
      </c>
      <c r="M513">
        <v>16.600000000000001</v>
      </c>
    </row>
    <row r="514" spans="1:13" x14ac:dyDescent="0.3">
      <c r="A514">
        <v>9</v>
      </c>
      <c r="B514">
        <v>654</v>
      </c>
      <c r="C514">
        <v>5000</v>
      </c>
      <c r="D514">
        <v>55154</v>
      </c>
      <c r="E514">
        <v>124816</v>
      </c>
      <c r="F514">
        <v>25962</v>
      </c>
      <c r="G514">
        <v>1255</v>
      </c>
      <c r="H514">
        <v>5000</v>
      </c>
      <c r="I514">
        <v>0</v>
      </c>
      <c r="J514">
        <v>109</v>
      </c>
      <c r="K514">
        <v>7103</v>
      </c>
      <c r="L514">
        <v>1803</v>
      </c>
      <c r="M514">
        <v>15.4</v>
      </c>
    </row>
    <row r="515" spans="1:13" x14ac:dyDescent="0.3">
      <c r="A515">
        <v>16</v>
      </c>
      <c r="B515">
        <v>622</v>
      </c>
      <c r="C515">
        <v>5000</v>
      </c>
      <c r="D515">
        <v>52207</v>
      </c>
      <c r="E515">
        <v>118505</v>
      </c>
      <c r="F515">
        <v>24731</v>
      </c>
      <c r="G515">
        <v>2209</v>
      </c>
      <c r="H515">
        <v>5000</v>
      </c>
      <c r="I515">
        <v>27</v>
      </c>
      <c r="J515">
        <v>132</v>
      </c>
      <c r="K515">
        <v>20405</v>
      </c>
      <c r="L515">
        <v>4952</v>
      </c>
      <c r="M515">
        <v>35.6</v>
      </c>
    </row>
    <row r="516" spans="1:13" x14ac:dyDescent="0.3">
      <c r="A516">
        <v>18</v>
      </c>
      <c r="B516">
        <v>608</v>
      </c>
      <c r="C516">
        <v>5000</v>
      </c>
      <c r="D516">
        <v>51172</v>
      </c>
      <c r="E516">
        <v>115616</v>
      </c>
      <c r="F516">
        <v>24615</v>
      </c>
      <c r="G516">
        <v>1094</v>
      </c>
      <c r="H516">
        <v>5000</v>
      </c>
      <c r="I516">
        <v>0</v>
      </c>
      <c r="J516">
        <v>62</v>
      </c>
      <c r="K516">
        <v>7177</v>
      </c>
      <c r="L516">
        <v>1903</v>
      </c>
      <c r="M516">
        <v>16.3</v>
      </c>
    </row>
    <row r="517" spans="1:13" x14ac:dyDescent="0.3">
      <c r="A517">
        <v>39</v>
      </c>
      <c r="B517">
        <v>558</v>
      </c>
      <c r="C517">
        <v>5000</v>
      </c>
      <c r="D517">
        <v>46228</v>
      </c>
      <c r="E517">
        <v>103444</v>
      </c>
      <c r="F517">
        <v>20963</v>
      </c>
      <c r="G517">
        <v>2592</v>
      </c>
      <c r="H517">
        <v>5000</v>
      </c>
      <c r="I517">
        <v>0</v>
      </c>
      <c r="J517">
        <v>115</v>
      </c>
      <c r="K517">
        <v>28845</v>
      </c>
      <c r="L517">
        <v>6568</v>
      </c>
      <c r="M517">
        <v>40.1</v>
      </c>
    </row>
    <row r="518" spans="1:13" x14ac:dyDescent="0.3">
      <c r="A518">
        <v>43</v>
      </c>
      <c r="B518">
        <v>533</v>
      </c>
      <c r="C518">
        <v>5000</v>
      </c>
      <c r="D518">
        <v>44569</v>
      </c>
      <c r="E518">
        <v>99622</v>
      </c>
      <c r="F518">
        <v>19641</v>
      </c>
      <c r="G518">
        <v>3474</v>
      </c>
      <c r="H518">
        <v>5000</v>
      </c>
      <c r="I518">
        <v>27</v>
      </c>
      <c r="J518">
        <v>363</v>
      </c>
      <c r="K518">
        <v>50872</v>
      </c>
      <c r="L518">
        <v>11685</v>
      </c>
      <c r="M518">
        <v>66.3</v>
      </c>
    </row>
    <row r="519" spans="1:13" x14ac:dyDescent="0.3">
      <c r="A519">
        <v>45</v>
      </c>
      <c r="B519">
        <v>637</v>
      </c>
      <c r="C519">
        <v>5000</v>
      </c>
      <c r="D519">
        <v>53726</v>
      </c>
      <c r="E519">
        <v>120507</v>
      </c>
      <c r="F519">
        <v>25078</v>
      </c>
      <c r="G519">
        <v>2635</v>
      </c>
      <c r="H519">
        <v>5000</v>
      </c>
      <c r="I519">
        <v>0</v>
      </c>
      <c r="J519">
        <v>143</v>
      </c>
      <c r="K519">
        <v>31638</v>
      </c>
      <c r="L519">
        <v>7957</v>
      </c>
      <c r="M519">
        <v>40.799999999999997</v>
      </c>
    </row>
    <row r="520" spans="1:13" x14ac:dyDescent="0.3">
      <c r="A520">
        <v>49</v>
      </c>
      <c r="B520">
        <v>563</v>
      </c>
      <c r="C520">
        <v>5000</v>
      </c>
      <c r="D520">
        <v>47042</v>
      </c>
      <c r="E520">
        <v>105679</v>
      </c>
      <c r="F520">
        <v>21570</v>
      </c>
      <c r="G520">
        <v>1685</v>
      </c>
      <c r="H520">
        <v>5000</v>
      </c>
      <c r="I520">
        <v>0</v>
      </c>
      <c r="J520">
        <v>118</v>
      </c>
      <c r="K520">
        <v>11272</v>
      </c>
      <c r="L520">
        <v>2479</v>
      </c>
      <c r="M520">
        <v>20.7</v>
      </c>
    </row>
    <row r="521" spans="1:13" x14ac:dyDescent="0.3">
      <c r="A521">
        <v>77</v>
      </c>
      <c r="B521">
        <v>624</v>
      </c>
      <c r="C521">
        <v>5000</v>
      </c>
      <c r="D521">
        <v>52501</v>
      </c>
      <c r="E521">
        <v>118192</v>
      </c>
      <c r="F521">
        <v>24439</v>
      </c>
      <c r="G521">
        <v>745</v>
      </c>
      <c r="H521">
        <v>5000</v>
      </c>
      <c r="I521">
        <v>0</v>
      </c>
      <c r="J521">
        <v>16</v>
      </c>
      <c r="K521">
        <v>3181</v>
      </c>
      <c r="L521">
        <v>959</v>
      </c>
      <c r="M521">
        <v>5.4</v>
      </c>
    </row>
    <row r="522" spans="1:13" x14ac:dyDescent="0.3">
      <c r="A522">
        <v>1</v>
      </c>
      <c r="B522">
        <v>0</v>
      </c>
      <c r="C522">
        <v>4730</v>
      </c>
      <c r="D522">
        <v>2074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 x14ac:dyDescent="0.3">
      <c r="A523">
        <v>2</v>
      </c>
      <c r="B523">
        <v>5</v>
      </c>
      <c r="C523">
        <v>4085</v>
      </c>
      <c r="D523">
        <v>2570</v>
      </c>
      <c r="E523">
        <v>347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 x14ac:dyDescent="0.3">
      <c r="A524">
        <v>3</v>
      </c>
      <c r="B524">
        <v>15</v>
      </c>
      <c r="C524">
        <v>3501</v>
      </c>
      <c r="D524">
        <v>3331</v>
      </c>
      <c r="E524">
        <v>1316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</row>
    <row r="525" spans="1:13" x14ac:dyDescent="0.3">
      <c r="A525">
        <v>4</v>
      </c>
      <c r="B525">
        <v>46</v>
      </c>
      <c r="C525">
        <v>3211</v>
      </c>
      <c r="D525">
        <v>5048</v>
      </c>
      <c r="E525">
        <v>4756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</row>
    <row r="526" spans="1:13" x14ac:dyDescent="0.3">
      <c r="A526">
        <v>6</v>
      </c>
      <c r="B526">
        <v>4</v>
      </c>
      <c r="C526">
        <v>4173</v>
      </c>
      <c r="D526">
        <v>2462</v>
      </c>
      <c r="E526">
        <v>261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</row>
    <row r="527" spans="1:13" x14ac:dyDescent="0.3">
      <c r="A527">
        <v>8</v>
      </c>
      <c r="B527">
        <v>9</v>
      </c>
      <c r="C527">
        <v>3818</v>
      </c>
      <c r="D527">
        <v>2868</v>
      </c>
      <c r="E527">
        <v>759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 x14ac:dyDescent="0.3">
      <c r="A528">
        <v>10</v>
      </c>
      <c r="B528">
        <v>40</v>
      </c>
      <c r="C528">
        <v>3155</v>
      </c>
      <c r="D528">
        <v>4743</v>
      </c>
      <c r="E528">
        <v>4023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</row>
    <row r="529" spans="1:13" x14ac:dyDescent="0.3">
      <c r="A529">
        <v>11</v>
      </c>
      <c r="B529">
        <v>7</v>
      </c>
      <c r="C529">
        <v>3934</v>
      </c>
      <c r="D529">
        <v>2729</v>
      </c>
      <c r="E529">
        <v>533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 x14ac:dyDescent="0.3">
      <c r="A530">
        <v>12</v>
      </c>
      <c r="B530">
        <v>35</v>
      </c>
      <c r="C530">
        <v>3005</v>
      </c>
      <c r="D530">
        <v>4415</v>
      </c>
      <c r="E530">
        <v>3354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 x14ac:dyDescent="0.3">
      <c r="A531">
        <v>13</v>
      </c>
      <c r="B531">
        <v>2</v>
      </c>
      <c r="C531">
        <v>4302</v>
      </c>
      <c r="D531">
        <v>2321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</row>
    <row r="532" spans="1:13" x14ac:dyDescent="0.3">
      <c r="A532">
        <v>14</v>
      </c>
      <c r="B532">
        <v>0</v>
      </c>
      <c r="C532">
        <v>4748</v>
      </c>
      <c r="D532">
        <v>2119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 x14ac:dyDescent="0.3">
      <c r="A533">
        <v>15</v>
      </c>
      <c r="B533">
        <v>30</v>
      </c>
      <c r="C533">
        <v>3095</v>
      </c>
      <c r="D533">
        <v>4103</v>
      </c>
      <c r="E533">
        <v>2764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 x14ac:dyDescent="0.3">
      <c r="A534">
        <v>17</v>
      </c>
      <c r="B534">
        <v>11</v>
      </c>
      <c r="C534">
        <v>3766</v>
      </c>
      <c r="D534">
        <v>3026</v>
      </c>
      <c r="E534">
        <v>990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 x14ac:dyDescent="0.3">
      <c r="A535">
        <v>19</v>
      </c>
      <c r="B535">
        <v>0</v>
      </c>
      <c r="C535">
        <v>4750</v>
      </c>
      <c r="D535">
        <v>2097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 x14ac:dyDescent="0.3">
      <c r="A536">
        <v>20</v>
      </c>
      <c r="B536">
        <v>11</v>
      </c>
      <c r="C536">
        <v>3669</v>
      </c>
      <c r="D536">
        <v>3083</v>
      </c>
      <c r="E536">
        <v>983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 x14ac:dyDescent="0.3">
      <c r="A537">
        <v>21</v>
      </c>
      <c r="B537">
        <v>32</v>
      </c>
      <c r="C537">
        <v>3085</v>
      </c>
      <c r="D537">
        <v>4191</v>
      </c>
      <c r="E537">
        <v>2956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 x14ac:dyDescent="0.3">
      <c r="A538">
        <v>22</v>
      </c>
      <c r="B538">
        <v>12</v>
      </c>
      <c r="C538">
        <v>3689</v>
      </c>
      <c r="D538">
        <v>3113</v>
      </c>
      <c r="E538">
        <v>1082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 x14ac:dyDescent="0.3">
      <c r="A539">
        <v>23</v>
      </c>
      <c r="B539">
        <v>8</v>
      </c>
      <c r="C539">
        <v>3888</v>
      </c>
      <c r="D539">
        <v>2755</v>
      </c>
      <c r="E539">
        <v>648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 x14ac:dyDescent="0.3">
      <c r="A540">
        <v>24</v>
      </c>
      <c r="B540">
        <v>17</v>
      </c>
      <c r="C540">
        <v>3526</v>
      </c>
      <c r="D540">
        <v>3379</v>
      </c>
      <c r="E540">
        <v>1592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 x14ac:dyDescent="0.3">
      <c r="A541">
        <v>25</v>
      </c>
      <c r="B541">
        <v>0</v>
      </c>
      <c r="C541">
        <v>4728</v>
      </c>
      <c r="D541">
        <v>2106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 x14ac:dyDescent="0.3">
      <c r="A542">
        <v>26</v>
      </c>
      <c r="B542">
        <v>15</v>
      </c>
      <c r="C542">
        <v>3570</v>
      </c>
      <c r="D542">
        <v>3296</v>
      </c>
      <c r="E542">
        <v>1371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 x14ac:dyDescent="0.3">
      <c r="A543">
        <v>27</v>
      </c>
      <c r="B543">
        <v>42</v>
      </c>
      <c r="C543">
        <v>3125</v>
      </c>
      <c r="D543">
        <v>4803</v>
      </c>
      <c r="E543">
        <v>4158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 x14ac:dyDescent="0.3">
      <c r="A544">
        <v>28</v>
      </c>
      <c r="B544">
        <v>0</v>
      </c>
      <c r="C544">
        <v>4736</v>
      </c>
      <c r="D544">
        <v>2066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 x14ac:dyDescent="0.3">
      <c r="A545">
        <v>29</v>
      </c>
      <c r="B545">
        <v>26</v>
      </c>
      <c r="C545">
        <v>3181</v>
      </c>
      <c r="D545">
        <v>3823</v>
      </c>
      <c r="E545">
        <v>2360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 x14ac:dyDescent="0.3">
      <c r="A546">
        <v>30</v>
      </c>
      <c r="B546">
        <v>2</v>
      </c>
      <c r="C546">
        <v>4300</v>
      </c>
      <c r="D546">
        <v>2312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 x14ac:dyDescent="0.3">
      <c r="A547">
        <v>31</v>
      </c>
      <c r="B547">
        <v>24</v>
      </c>
      <c r="C547">
        <v>3211</v>
      </c>
      <c r="D547">
        <v>3782</v>
      </c>
      <c r="E547">
        <v>2143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 x14ac:dyDescent="0.3">
      <c r="A548">
        <v>32</v>
      </c>
      <c r="B548">
        <v>1</v>
      </c>
      <c r="C548">
        <v>4496</v>
      </c>
      <c r="D548">
        <v>2177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 x14ac:dyDescent="0.3">
      <c r="A549">
        <v>33</v>
      </c>
      <c r="B549">
        <v>8</v>
      </c>
      <c r="C549">
        <v>3866</v>
      </c>
      <c r="D549">
        <v>2786</v>
      </c>
      <c r="E549">
        <v>623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</row>
    <row r="550" spans="1:13" x14ac:dyDescent="0.3">
      <c r="A550">
        <v>34</v>
      </c>
      <c r="B550">
        <v>7</v>
      </c>
      <c r="C550">
        <v>3978</v>
      </c>
      <c r="D550">
        <v>2621</v>
      </c>
      <c r="E550">
        <v>587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 x14ac:dyDescent="0.3">
      <c r="A551">
        <v>35</v>
      </c>
      <c r="B551">
        <v>9</v>
      </c>
      <c r="C551">
        <v>3803</v>
      </c>
      <c r="D551">
        <v>2862</v>
      </c>
      <c r="E551">
        <v>744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 x14ac:dyDescent="0.3">
      <c r="A552">
        <v>36</v>
      </c>
      <c r="B552">
        <v>24</v>
      </c>
      <c r="C552">
        <v>3419</v>
      </c>
      <c r="D552">
        <v>3763</v>
      </c>
      <c r="E552">
        <v>2396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 x14ac:dyDescent="0.3">
      <c r="A553">
        <v>37</v>
      </c>
      <c r="B553">
        <v>39</v>
      </c>
      <c r="C553">
        <v>2923</v>
      </c>
      <c r="D553">
        <v>4612</v>
      </c>
      <c r="E553">
        <v>3586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 x14ac:dyDescent="0.3">
      <c r="A554">
        <v>38</v>
      </c>
      <c r="B554">
        <v>3</v>
      </c>
      <c r="C554">
        <v>4265</v>
      </c>
      <c r="D554">
        <v>2399</v>
      </c>
      <c r="E554">
        <v>159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 x14ac:dyDescent="0.3">
      <c r="A555">
        <v>40</v>
      </c>
      <c r="B555">
        <v>0</v>
      </c>
      <c r="C555">
        <v>4750</v>
      </c>
      <c r="D555">
        <v>2075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 x14ac:dyDescent="0.3">
      <c r="A556">
        <v>41</v>
      </c>
      <c r="B556">
        <v>5</v>
      </c>
      <c r="C556">
        <v>4100</v>
      </c>
      <c r="D556">
        <v>2554</v>
      </c>
      <c r="E556">
        <v>311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 x14ac:dyDescent="0.3">
      <c r="A557">
        <v>42</v>
      </c>
      <c r="B557">
        <v>32</v>
      </c>
      <c r="C557">
        <v>3212</v>
      </c>
      <c r="D557">
        <v>4303</v>
      </c>
      <c r="E557">
        <v>3099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 x14ac:dyDescent="0.3">
      <c r="A558">
        <v>44</v>
      </c>
      <c r="B558">
        <v>13</v>
      </c>
      <c r="C558">
        <v>3625</v>
      </c>
      <c r="D558">
        <v>3163</v>
      </c>
      <c r="E558">
        <v>1185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 x14ac:dyDescent="0.3">
      <c r="A559">
        <v>46</v>
      </c>
      <c r="B559">
        <v>40</v>
      </c>
      <c r="C559">
        <v>3120</v>
      </c>
      <c r="D559">
        <v>4709</v>
      </c>
      <c r="E559">
        <v>4012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 x14ac:dyDescent="0.3">
      <c r="A560">
        <v>47</v>
      </c>
      <c r="B560">
        <v>14</v>
      </c>
      <c r="C560">
        <v>3590</v>
      </c>
      <c r="D560">
        <v>3233</v>
      </c>
      <c r="E560">
        <v>1233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 x14ac:dyDescent="0.3">
      <c r="A561">
        <v>48</v>
      </c>
      <c r="B561">
        <v>4</v>
      </c>
      <c r="C561">
        <v>4213</v>
      </c>
      <c r="D561">
        <v>2415</v>
      </c>
      <c r="E561">
        <v>257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 x14ac:dyDescent="0.3">
      <c r="A562">
        <v>50</v>
      </c>
      <c r="B562">
        <v>37</v>
      </c>
      <c r="C562">
        <v>3285</v>
      </c>
      <c r="D562">
        <v>4488</v>
      </c>
      <c r="E562">
        <v>3836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 x14ac:dyDescent="0.3">
      <c r="A563">
        <v>51</v>
      </c>
      <c r="B563">
        <v>0</v>
      </c>
      <c r="C563">
        <v>4727</v>
      </c>
      <c r="D563">
        <v>2094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 x14ac:dyDescent="0.3">
      <c r="A564">
        <v>52</v>
      </c>
      <c r="B564">
        <v>2</v>
      </c>
      <c r="C564">
        <v>4261</v>
      </c>
      <c r="D564">
        <v>2296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 x14ac:dyDescent="0.3">
      <c r="A565">
        <v>53</v>
      </c>
      <c r="B565">
        <v>5</v>
      </c>
      <c r="C565">
        <v>4074</v>
      </c>
      <c r="D565">
        <v>2509</v>
      </c>
      <c r="E565">
        <v>315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 x14ac:dyDescent="0.3">
      <c r="A566">
        <v>54</v>
      </c>
      <c r="B566">
        <v>25</v>
      </c>
      <c r="C566">
        <v>3218</v>
      </c>
      <c r="D566">
        <v>3840</v>
      </c>
      <c r="E566">
        <v>2276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 x14ac:dyDescent="0.3">
      <c r="A567">
        <v>55</v>
      </c>
      <c r="B567">
        <v>2</v>
      </c>
      <c r="C567">
        <v>4312</v>
      </c>
      <c r="D567">
        <v>2294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 x14ac:dyDescent="0.3">
      <c r="A568">
        <v>56</v>
      </c>
      <c r="B568">
        <v>22</v>
      </c>
      <c r="C568">
        <v>3340</v>
      </c>
      <c r="D568">
        <v>3591</v>
      </c>
      <c r="E568">
        <v>2129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 x14ac:dyDescent="0.3">
      <c r="A569">
        <v>57</v>
      </c>
      <c r="B569">
        <v>1</v>
      </c>
      <c r="C569">
        <v>4522</v>
      </c>
      <c r="D569">
        <v>2151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 x14ac:dyDescent="0.3">
      <c r="A570">
        <v>58</v>
      </c>
      <c r="B570">
        <v>1</v>
      </c>
      <c r="C570">
        <v>4511</v>
      </c>
      <c r="D570">
        <v>2181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 x14ac:dyDescent="0.3">
      <c r="A571">
        <v>59</v>
      </c>
      <c r="B571">
        <v>45</v>
      </c>
      <c r="C571">
        <v>3272</v>
      </c>
      <c r="D571">
        <v>4997</v>
      </c>
      <c r="E571">
        <v>4697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 x14ac:dyDescent="0.3">
      <c r="A572">
        <v>60</v>
      </c>
      <c r="B572">
        <v>24</v>
      </c>
      <c r="C572">
        <v>3310</v>
      </c>
      <c r="D572">
        <v>3795</v>
      </c>
      <c r="E572">
        <v>2243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 x14ac:dyDescent="0.3">
      <c r="A573">
        <v>61</v>
      </c>
      <c r="B573">
        <v>41</v>
      </c>
      <c r="C573">
        <v>3025</v>
      </c>
      <c r="D573">
        <v>4728</v>
      </c>
      <c r="E573">
        <v>4028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 x14ac:dyDescent="0.3">
      <c r="A574">
        <v>62</v>
      </c>
      <c r="B574">
        <v>27</v>
      </c>
      <c r="C574">
        <v>3205</v>
      </c>
      <c r="D574">
        <v>3921</v>
      </c>
      <c r="E574">
        <v>2498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 x14ac:dyDescent="0.3">
      <c r="A575">
        <v>63</v>
      </c>
      <c r="B575">
        <v>4</v>
      </c>
      <c r="C575">
        <v>4224</v>
      </c>
      <c r="D575">
        <v>2430</v>
      </c>
      <c r="E575">
        <v>248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 x14ac:dyDescent="0.3">
      <c r="A576">
        <v>64</v>
      </c>
      <c r="B576">
        <v>1</v>
      </c>
      <c r="C576">
        <v>4556</v>
      </c>
      <c r="D576">
        <v>2181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 x14ac:dyDescent="0.3">
      <c r="A577">
        <v>65</v>
      </c>
      <c r="B577">
        <v>11</v>
      </c>
      <c r="C577">
        <v>3735</v>
      </c>
      <c r="D577">
        <v>3067</v>
      </c>
      <c r="E577">
        <v>901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 x14ac:dyDescent="0.3">
      <c r="A578">
        <v>66</v>
      </c>
      <c r="B578">
        <v>6</v>
      </c>
      <c r="C578">
        <v>3998</v>
      </c>
      <c r="D578">
        <v>2584</v>
      </c>
      <c r="E578">
        <v>449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 x14ac:dyDescent="0.3">
      <c r="A579">
        <v>67</v>
      </c>
      <c r="B579">
        <v>0</v>
      </c>
      <c r="C579">
        <v>4733</v>
      </c>
      <c r="D579">
        <v>2123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 x14ac:dyDescent="0.3">
      <c r="A580">
        <v>68</v>
      </c>
      <c r="B580">
        <v>24</v>
      </c>
      <c r="C580">
        <v>3303</v>
      </c>
      <c r="D580">
        <v>3744</v>
      </c>
      <c r="E580">
        <v>2264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 x14ac:dyDescent="0.3">
      <c r="A581">
        <v>69</v>
      </c>
      <c r="B581">
        <v>3</v>
      </c>
      <c r="C581">
        <v>4354</v>
      </c>
      <c r="D581">
        <v>2383</v>
      </c>
      <c r="E581">
        <v>195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 x14ac:dyDescent="0.3">
      <c r="A582">
        <v>70</v>
      </c>
      <c r="B582">
        <v>44</v>
      </c>
      <c r="C582">
        <v>3228</v>
      </c>
      <c r="D582">
        <v>4923</v>
      </c>
      <c r="E582">
        <v>4538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 x14ac:dyDescent="0.3">
      <c r="A583">
        <v>71</v>
      </c>
      <c r="B583">
        <v>6</v>
      </c>
      <c r="C583">
        <v>4012</v>
      </c>
      <c r="D583">
        <v>2645</v>
      </c>
      <c r="E583">
        <v>419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 x14ac:dyDescent="0.3">
      <c r="A584">
        <v>72</v>
      </c>
      <c r="B584">
        <v>28</v>
      </c>
      <c r="C584">
        <v>3225</v>
      </c>
      <c r="D584">
        <v>3957</v>
      </c>
      <c r="E584">
        <v>2667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 x14ac:dyDescent="0.3">
      <c r="A585">
        <v>73</v>
      </c>
      <c r="B585">
        <v>3</v>
      </c>
      <c r="C585">
        <v>4272</v>
      </c>
      <c r="D585">
        <v>2370</v>
      </c>
      <c r="E585">
        <v>157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 x14ac:dyDescent="0.3">
      <c r="A586">
        <v>74</v>
      </c>
      <c r="B586">
        <v>22</v>
      </c>
      <c r="C586">
        <v>3372</v>
      </c>
      <c r="D586">
        <v>3556</v>
      </c>
      <c r="E586">
        <v>2098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 x14ac:dyDescent="0.3">
      <c r="A587">
        <v>75</v>
      </c>
      <c r="B587">
        <v>1</v>
      </c>
      <c r="C587">
        <v>4496</v>
      </c>
      <c r="D587">
        <v>2205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 x14ac:dyDescent="0.3">
      <c r="A588">
        <v>76</v>
      </c>
      <c r="B588">
        <v>20</v>
      </c>
      <c r="C588">
        <v>3434</v>
      </c>
      <c r="D588">
        <v>3544</v>
      </c>
      <c r="E588">
        <v>1863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 x14ac:dyDescent="0.3">
      <c r="A589">
        <v>78</v>
      </c>
      <c r="B589">
        <v>5</v>
      </c>
      <c r="C589">
        <v>4115</v>
      </c>
      <c r="D589">
        <v>2584</v>
      </c>
      <c r="E589">
        <v>343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 x14ac:dyDescent="0.3">
      <c r="A590">
        <v>79</v>
      </c>
      <c r="B590">
        <v>24</v>
      </c>
      <c r="C590">
        <v>3281</v>
      </c>
      <c r="D590">
        <v>3788</v>
      </c>
      <c r="E590">
        <v>2223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 x14ac:dyDescent="0.3">
      <c r="A591">
        <v>80</v>
      </c>
      <c r="B591">
        <v>0</v>
      </c>
      <c r="C591">
        <v>4736</v>
      </c>
      <c r="D591">
        <v>2085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 x14ac:dyDescent="0.3">
      <c r="A592">
        <v>81</v>
      </c>
      <c r="B592">
        <v>15</v>
      </c>
      <c r="C592">
        <v>3614</v>
      </c>
      <c r="D592">
        <v>3304</v>
      </c>
      <c r="E592">
        <v>1355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 x14ac:dyDescent="0.3">
      <c r="A593">
        <v>82</v>
      </c>
      <c r="B593">
        <v>13</v>
      </c>
      <c r="C593">
        <v>3719</v>
      </c>
      <c r="D593">
        <v>3167</v>
      </c>
      <c r="E593">
        <v>1224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 x14ac:dyDescent="0.3">
      <c r="A594">
        <v>83</v>
      </c>
      <c r="B594">
        <v>19</v>
      </c>
      <c r="C594">
        <v>3436</v>
      </c>
      <c r="D594">
        <v>3475</v>
      </c>
      <c r="E594">
        <v>1744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 x14ac:dyDescent="0.3">
      <c r="A595">
        <v>84</v>
      </c>
      <c r="B595">
        <v>2</v>
      </c>
      <c r="C595">
        <v>4358</v>
      </c>
      <c r="D595">
        <v>2276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 x14ac:dyDescent="0.3">
      <c r="A596">
        <v>85</v>
      </c>
      <c r="B596">
        <v>31</v>
      </c>
      <c r="C596">
        <v>3269</v>
      </c>
      <c r="D596">
        <v>4150</v>
      </c>
      <c r="E596">
        <v>3090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 x14ac:dyDescent="0.3">
      <c r="A597">
        <v>86</v>
      </c>
      <c r="B597">
        <v>0</v>
      </c>
      <c r="C597">
        <v>4745</v>
      </c>
      <c r="D597">
        <v>2081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 x14ac:dyDescent="0.3">
      <c r="A598">
        <v>87</v>
      </c>
      <c r="B598">
        <v>27</v>
      </c>
      <c r="C598">
        <v>3269</v>
      </c>
      <c r="D598">
        <v>3895</v>
      </c>
      <c r="E598">
        <v>2571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 x14ac:dyDescent="0.3">
      <c r="A599">
        <v>88</v>
      </c>
      <c r="B599">
        <v>14</v>
      </c>
      <c r="C599">
        <v>3577</v>
      </c>
      <c r="D599">
        <v>3096</v>
      </c>
      <c r="E599">
        <v>1202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 x14ac:dyDescent="0.3">
      <c r="A600">
        <v>89</v>
      </c>
      <c r="B600">
        <v>17</v>
      </c>
      <c r="C600">
        <v>3559</v>
      </c>
      <c r="D600">
        <v>3358</v>
      </c>
      <c r="E600">
        <v>1560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 x14ac:dyDescent="0.3">
      <c r="A601">
        <v>90</v>
      </c>
      <c r="B601">
        <v>1</v>
      </c>
      <c r="C601">
        <v>4551</v>
      </c>
      <c r="D601">
        <v>2187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 x14ac:dyDescent="0.3">
      <c r="A602">
        <v>91</v>
      </c>
      <c r="B602">
        <v>1</v>
      </c>
      <c r="C602">
        <v>4512</v>
      </c>
      <c r="D602">
        <v>2180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</row>
    <row r="603" spans="1:13" x14ac:dyDescent="0.3">
      <c r="A603">
        <v>92</v>
      </c>
      <c r="B603">
        <v>25</v>
      </c>
      <c r="C603">
        <v>3176</v>
      </c>
      <c r="D603">
        <v>3781</v>
      </c>
      <c r="E603">
        <v>2242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 x14ac:dyDescent="0.3">
      <c r="A604">
        <v>93</v>
      </c>
      <c r="B604">
        <v>23</v>
      </c>
      <c r="C604">
        <v>3322</v>
      </c>
      <c r="D604">
        <v>3700</v>
      </c>
      <c r="E604">
        <v>2078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 x14ac:dyDescent="0.3">
      <c r="A605">
        <v>94</v>
      </c>
      <c r="B605">
        <v>48</v>
      </c>
      <c r="C605">
        <v>3420</v>
      </c>
      <c r="D605">
        <v>5100</v>
      </c>
      <c r="E605">
        <v>5138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 x14ac:dyDescent="0.3">
      <c r="A606">
        <v>95</v>
      </c>
      <c r="B606">
        <v>2</v>
      </c>
      <c r="C606">
        <v>4361</v>
      </c>
      <c r="D606">
        <v>2275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 x14ac:dyDescent="0.3">
      <c r="A607">
        <v>96</v>
      </c>
      <c r="B607">
        <v>24</v>
      </c>
      <c r="C607">
        <v>3398</v>
      </c>
      <c r="D607">
        <v>3776</v>
      </c>
      <c r="E607">
        <v>2319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 x14ac:dyDescent="0.3">
      <c r="A608">
        <v>97</v>
      </c>
      <c r="B608">
        <v>6</v>
      </c>
      <c r="C608">
        <v>4027</v>
      </c>
      <c r="D608">
        <v>2626</v>
      </c>
      <c r="E608">
        <v>461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 x14ac:dyDescent="0.3">
      <c r="A609">
        <v>98</v>
      </c>
      <c r="B609">
        <v>37</v>
      </c>
      <c r="C609">
        <v>3113</v>
      </c>
      <c r="D609">
        <v>4522</v>
      </c>
      <c r="E609">
        <v>3678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 x14ac:dyDescent="0.3">
      <c r="A610">
        <v>99</v>
      </c>
      <c r="B610">
        <v>38</v>
      </c>
      <c r="C610">
        <v>3069</v>
      </c>
      <c r="D610">
        <v>4502</v>
      </c>
      <c r="E610">
        <v>3636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 x14ac:dyDescent="0.3">
      <c r="A611">
        <v>100</v>
      </c>
      <c r="B611">
        <v>5</v>
      </c>
      <c r="C611">
        <v>4031</v>
      </c>
      <c r="D611">
        <v>2572</v>
      </c>
      <c r="E611">
        <v>327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</row>
    <row r="613" spans="1:13" x14ac:dyDescent="0.3">
      <c r="A613" t="s">
        <v>0</v>
      </c>
      <c r="B613" t="s">
        <v>1</v>
      </c>
      <c r="C613" t="s">
        <v>2</v>
      </c>
      <c r="D613" t="s">
        <v>3</v>
      </c>
      <c r="E613" t="s">
        <v>4</v>
      </c>
      <c r="F613" t="s">
        <v>6</v>
      </c>
      <c r="G613" t="s">
        <v>7</v>
      </c>
      <c r="H613" t="s">
        <v>8</v>
      </c>
      <c r="I613" t="s">
        <v>9</v>
      </c>
      <c r="J613" t="s">
        <v>11</v>
      </c>
      <c r="K613" t="s">
        <v>12</v>
      </c>
      <c r="L613" t="s">
        <v>13</v>
      </c>
      <c r="M613" t="s">
        <v>16</v>
      </c>
    </row>
    <row r="614" spans="1:13" x14ac:dyDescent="0.3">
      <c r="A614">
        <v>2</v>
      </c>
      <c r="B614">
        <v>723</v>
      </c>
      <c r="C614">
        <v>6000</v>
      </c>
      <c r="D614">
        <v>73105</v>
      </c>
      <c r="E614">
        <v>165688</v>
      </c>
      <c r="F614">
        <v>35771</v>
      </c>
      <c r="G614">
        <v>724</v>
      </c>
      <c r="H614">
        <v>6000</v>
      </c>
      <c r="I614">
        <v>0</v>
      </c>
      <c r="J614">
        <v>45</v>
      </c>
      <c r="K614">
        <v>3357</v>
      </c>
      <c r="L614">
        <v>968</v>
      </c>
      <c r="M614">
        <v>7.4</v>
      </c>
    </row>
    <row r="615" spans="1:13" x14ac:dyDescent="0.3">
      <c r="A615">
        <v>3</v>
      </c>
      <c r="B615">
        <v>526</v>
      </c>
      <c r="C615">
        <v>6000</v>
      </c>
      <c r="D615">
        <v>53626</v>
      </c>
      <c r="E615">
        <v>119438</v>
      </c>
      <c r="F615">
        <v>24321</v>
      </c>
      <c r="G615">
        <v>3367</v>
      </c>
      <c r="H615">
        <v>6000</v>
      </c>
      <c r="I615">
        <v>0</v>
      </c>
      <c r="J615">
        <v>221</v>
      </c>
      <c r="K615">
        <v>33819</v>
      </c>
      <c r="L615">
        <v>6359</v>
      </c>
      <c r="M615">
        <v>47.9</v>
      </c>
    </row>
    <row r="616" spans="1:13" x14ac:dyDescent="0.3">
      <c r="A616">
        <v>6</v>
      </c>
      <c r="B616">
        <v>643</v>
      </c>
      <c r="C616">
        <v>6000</v>
      </c>
      <c r="D616">
        <v>65137</v>
      </c>
      <c r="E616">
        <v>147801</v>
      </c>
      <c r="F616">
        <v>31385</v>
      </c>
      <c r="G616">
        <v>912</v>
      </c>
      <c r="H616">
        <v>6000</v>
      </c>
      <c r="I616">
        <v>0</v>
      </c>
      <c r="J616">
        <v>61</v>
      </c>
      <c r="K616">
        <v>4146</v>
      </c>
      <c r="L616">
        <v>1127</v>
      </c>
      <c r="M616">
        <v>8.3000000000000007</v>
      </c>
    </row>
    <row r="617" spans="1:13" x14ac:dyDescent="0.3">
      <c r="A617">
        <v>7</v>
      </c>
      <c r="B617">
        <v>573</v>
      </c>
      <c r="C617">
        <v>6000</v>
      </c>
      <c r="D617">
        <v>58253</v>
      </c>
      <c r="E617">
        <v>130662</v>
      </c>
      <c r="F617">
        <v>26601</v>
      </c>
      <c r="G617">
        <v>2487</v>
      </c>
      <c r="H617">
        <v>6000</v>
      </c>
      <c r="I617">
        <v>0</v>
      </c>
      <c r="J617">
        <v>151</v>
      </c>
      <c r="K617">
        <v>19491</v>
      </c>
      <c r="L617">
        <v>4902</v>
      </c>
      <c r="M617">
        <v>32</v>
      </c>
    </row>
    <row r="618" spans="1:13" x14ac:dyDescent="0.3">
      <c r="A618">
        <v>11</v>
      </c>
      <c r="B618">
        <v>612</v>
      </c>
      <c r="C618">
        <v>6000</v>
      </c>
      <c r="D618">
        <v>61992</v>
      </c>
      <c r="E618">
        <v>140078</v>
      </c>
      <c r="F618">
        <v>28867</v>
      </c>
      <c r="G618">
        <v>3150</v>
      </c>
      <c r="H618">
        <v>6000</v>
      </c>
      <c r="I618">
        <v>0</v>
      </c>
      <c r="J618">
        <v>104</v>
      </c>
      <c r="K618">
        <v>31314</v>
      </c>
      <c r="L618">
        <v>7688</v>
      </c>
      <c r="M618">
        <v>46</v>
      </c>
    </row>
    <row r="619" spans="1:13" x14ac:dyDescent="0.3">
      <c r="A619">
        <v>21</v>
      </c>
      <c r="B619">
        <v>688</v>
      </c>
      <c r="C619">
        <v>6000</v>
      </c>
      <c r="D619">
        <v>69706</v>
      </c>
      <c r="E619">
        <v>157974</v>
      </c>
      <c r="F619">
        <v>33493</v>
      </c>
      <c r="G619">
        <v>1224</v>
      </c>
      <c r="H619">
        <v>6000</v>
      </c>
      <c r="I619">
        <v>0</v>
      </c>
      <c r="J619">
        <v>32</v>
      </c>
      <c r="K619">
        <v>8021</v>
      </c>
      <c r="L619">
        <v>1810</v>
      </c>
      <c r="M619">
        <v>13.6</v>
      </c>
    </row>
    <row r="620" spans="1:13" x14ac:dyDescent="0.3">
      <c r="A620">
        <v>23</v>
      </c>
      <c r="B620">
        <v>642</v>
      </c>
      <c r="C620">
        <v>6000</v>
      </c>
      <c r="D620">
        <v>64931</v>
      </c>
      <c r="E620">
        <v>147002</v>
      </c>
      <c r="F620">
        <v>30075</v>
      </c>
      <c r="G620">
        <v>2095</v>
      </c>
      <c r="H620">
        <v>6000</v>
      </c>
      <c r="I620">
        <v>1</v>
      </c>
      <c r="J620">
        <v>134</v>
      </c>
      <c r="K620">
        <v>12722</v>
      </c>
      <c r="L620">
        <v>3559</v>
      </c>
      <c r="M620">
        <v>24.2</v>
      </c>
    </row>
    <row r="621" spans="1:13" x14ac:dyDescent="0.3">
      <c r="A621">
        <v>27</v>
      </c>
      <c r="B621">
        <v>567</v>
      </c>
      <c r="C621">
        <v>6000</v>
      </c>
      <c r="D621">
        <v>57727</v>
      </c>
      <c r="E621">
        <v>129669</v>
      </c>
      <c r="F621">
        <v>26667</v>
      </c>
      <c r="G621">
        <v>3208</v>
      </c>
      <c r="H621">
        <v>6000</v>
      </c>
      <c r="I621">
        <v>0</v>
      </c>
      <c r="J621">
        <v>220</v>
      </c>
      <c r="K621">
        <v>25686</v>
      </c>
      <c r="L621">
        <v>5762</v>
      </c>
      <c r="M621">
        <v>37.299999999999997</v>
      </c>
    </row>
    <row r="622" spans="1:13" x14ac:dyDescent="0.3">
      <c r="A622">
        <v>32</v>
      </c>
      <c r="B622">
        <v>664</v>
      </c>
      <c r="C622">
        <v>6000</v>
      </c>
      <c r="D622">
        <v>67471</v>
      </c>
      <c r="E622">
        <v>152624</v>
      </c>
      <c r="F622">
        <v>31527</v>
      </c>
      <c r="G622">
        <v>861</v>
      </c>
      <c r="H622">
        <v>6000</v>
      </c>
      <c r="I622">
        <v>0</v>
      </c>
      <c r="J622">
        <v>50</v>
      </c>
      <c r="K622">
        <v>3601</v>
      </c>
      <c r="L622">
        <v>1032</v>
      </c>
      <c r="M622">
        <v>7.6</v>
      </c>
    </row>
    <row r="623" spans="1:13" x14ac:dyDescent="0.3">
      <c r="A623">
        <v>34</v>
      </c>
      <c r="B623">
        <v>656</v>
      </c>
      <c r="C623">
        <v>6000</v>
      </c>
      <c r="D623">
        <v>66073</v>
      </c>
      <c r="E623">
        <v>149311</v>
      </c>
      <c r="F623">
        <v>29634</v>
      </c>
      <c r="G623">
        <v>1862</v>
      </c>
      <c r="H623">
        <v>6000</v>
      </c>
      <c r="I623">
        <v>0</v>
      </c>
      <c r="J623">
        <v>151</v>
      </c>
      <c r="K623">
        <v>11429</v>
      </c>
      <c r="L623">
        <v>3216</v>
      </c>
      <c r="M623">
        <v>22.1</v>
      </c>
    </row>
    <row r="624" spans="1:13" x14ac:dyDescent="0.3">
      <c r="A624">
        <v>36</v>
      </c>
      <c r="B624">
        <v>595</v>
      </c>
      <c r="C624">
        <v>6000</v>
      </c>
      <c r="D624">
        <v>60385</v>
      </c>
      <c r="E624">
        <v>135696</v>
      </c>
      <c r="F624">
        <v>27905</v>
      </c>
      <c r="G624">
        <v>1670</v>
      </c>
      <c r="H624">
        <v>6000</v>
      </c>
      <c r="I624">
        <v>0</v>
      </c>
      <c r="J624">
        <v>15</v>
      </c>
      <c r="K624">
        <v>9522</v>
      </c>
      <c r="L624">
        <v>2408</v>
      </c>
      <c r="M624">
        <v>17.600000000000001</v>
      </c>
    </row>
    <row r="625" spans="1:13" x14ac:dyDescent="0.3">
      <c r="A625">
        <v>50</v>
      </c>
      <c r="B625">
        <v>569</v>
      </c>
      <c r="C625">
        <v>6000</v>
      </c>
      <c r="D625">
        <v>58155</v>
      </c>
      <c r="E625">
        <v>130419</v>
      </c>
      <c r="F625">
        <v>27501</v>
      </c>
      <c r="G625">
        <v>2976</v>
      </c>
      <c r="H625">
        <v>6000</v>
      </c>
      <c r="I625">
        <v>0</v>
      </c>
      <c r="J625">
        <v>258</v>
      </c>
      <c r="K625">
        <v>24747</v>
      </c>
      <c r="L625">
        <v>6226</v>
      </c>
      <c r="M625">
        <v>47.4</v>
      </c>
    </row>
    <row r="626" spans="1:13" x14ac:dyDescent="0.3">
      <c r="A626">
        <v>53</v>
      </c>
      <c r="B626">
        <v>709</v>
      </c>
      <c r="C626">
        <v>6000</v>
      </c>
      <c r="D626">
        <v>72000</v>
      </c>
      <c r="E626">
        <v>163539</v>
      </c>
      <c r="F626">
        <v>34943</v>
      </c>
      <c r="G626">
        <v>63</v>
      </c>
      <c r="H626">
        <v>6000</v>
      </c>
      <c r="I626">
        <v>0</v>
      </c>
      <c r="J626">
        <v>0</v>
      </c>
      <c r="K626">
        <v>294</v>
      </c>
      <c r="L626">
        <v>68</v>
      </c>
      <c r="M626">
        <v>0.9</v>
      </c>
    </row>
    <row r="627" spans="1:13" x14ac:dyDescent="0.3">
      <c r="A627">
        <v>60</v>
      </c>
      <c r="B627">
        <v>567</v>
      </c>
      <c r="C627">
        <v>6000</v>
      </c>
      <c r="D627">
        <v>57473</v>
      </c>
      <c r="E627">
        <v>129697</v>
      </c>
      <c r="F627">
        <v>26037</v>
      </c>
      <c r="G627">
        <v>3281</v>
      </c>
      <c r="H627">
        <v>6000</v>
      </c>
      <c r="I627">
        <v>29</v>
      </c>
      <c r="J627">
        <v>258</v>
      </c>
      <c r="K627">
        <v>40462</v>
      </c>
      <c r="L627">
        <v>9803</v>
      </c>
      <c r="M627">
        <v>57.1</v>
      </c>
    </row>
    <row r="628" spans="1:13" x14ac:dyDescent="0.3">
      <c r="A628">
        <v>61</v>
      </c>
      <c r="B628">
        <v>633</v>
      </c>
      <c r="C628">
        <v>6000</v>
      </c>
      <c r="D628">
        <v>64251</v>
      </c>
      <c r="E628">
        <v>144781</v>
      </c>
      <c r="F628">
        <v>30654</v>
      </c>
      <c r="G628">
        <v>507</v>
      </c>
      <c r="H628">
        <v>6000</v>
      </c>
      <c r="I628">
        <v>0</v>
      </c>
      <c r="J628">
        <v>24</v>
      </c>
      <c r="K628">
        <v>1913</v>
      </c>
      <c r="L628">
        <v>613</v>
      </c>
      <c r="M628">
        <v>5.4</v>
      </c>
    </row>
    <row r="629" spans="1:13" x14ac:dyDescent="0.3">
      <c r="A629">
        <v>64</v>
      </c>
      <c r="B629">
        <v>639</v>
      </c>
      <c r="C629">
        <v>6000</v>
      </c>
      <c r="D629">
        <v>64097</v>
      </c>
      <c r="E629">
        <v>145050</v>
      </c>
      <c r="F629">
        <v>29910</v>
      </c>
      <c r="G629">
        <v>455</v>
      </c>
      <c r="H629">
        <v>6000</v>
      </c>
      <c r="I629">
        <v>0</v>
      </c>
      <c r="J629">
        <v>32</v>
      </c>
      <c r="K629">
        <v>2373</v>
      </c>
      <c r="L629">
        <v>515</v>
      </c>
      <c r="M629">
        <v>5.5</v>
      </c>
    </row>
    <row r="630" spans="1:13" x14ac:dyDescent="0.3">
      <c r="A630">
        <v>70</v>
      </c>
      <c r="B630">
        <v>611</v>
      </c>
      <c r="C630">
        <v>6000</v>
      </c>
      <c r="D630">
        <v>62012</v>
      </c>
      <c r="E630">
        <v>139872</v>
      </c>
      <c r="F630">
        <v>28576</v>
      </c>
      <c r="G630">
        <v>2131</v>
      </c>
      <c r="H630">
        <v>6000</v>
      </c>
      <c r="I630">
        <v>0</v>
      </c>
      <c r="J630">
        <v>41</v>
      </c>
      <c r="K630">
        <v>15763</v>
      </c>
      <c r="L630">
        <v>3792</v>
      </c>
      <c r="M630">
        <v>28.8</v>
      </c>
    </row>
    <row r="631" spans="1:13" x14ac:dyDescent="0.3">
      <c r="A631">
        <v>79</v>
      </c>
      <c r="B631">
        <v>520</v>
      </c>
      <c r="C631">
        <v>6000</v>
      </c>
      <c r="D631">
        <v>52597</v>
      </c>
      <c r="E631">
        <v>117334</v>
      </c>
      <c r="F631">
        <v>23389</v>
      </c>
      <c r="G631">
        <v>4055</v>
      </c>
      <c r="H631">
        <v>6000</v>
      </c>
      <c r="I631">
        <v>0</v>
      </c>
      <c r="J631">
        <v>460</v>
      </c>
      <c r="K631">
        <v>49027</v>
      </c>
      <c r="L631">
        <v>11049</v>
      </c>
      <c r="M631">
        <v>62.8</v>
      </c>
    </row>
    <row r="632" spans="1:13" x14ac:dyDescent="0.3">
      <c r="A632">
        <v>80</v>
      </c>
      <c r="B632">
        <v>623</v>
      </c>
      <c r="C632">
        <v>6000</v>
      </c>
      <c r="D632">
        <v>62792</v>
      </c>
      <c r="E632">
        <v>142154</v>
      </c>
      <c r="F632">
        <v>29003</v>
      </c>
      <c r="G632">
        <v>2836</v>
      </c>
      <c r="H632">
        <v>6000</v>
      </c>
      <c r="I632">
        <v>0</v>
      </c>
      <c r="J632">
        <v>120</v>
      </c>
      <c r="K632">
        <v>23401</v>
      </c>
      <c r="L632">
        <v>6262</v>
      </c>
      <c r="M632">
        <v>40.1</v>
      </c>
    </row>
    <row r="633" spans="1:13" x14ac:dyDescent="0.3">
      <c r="A633">
        <v>82</v>
      </c>
      <c r="B633">
        <v>652</v>
      </c>
      <c r="C633">
        <v>6000</v>
      </c>
      <c r="D633">
        <v>66426</v>
      </c>
      <c r="E633">
        <v>150156</v>
      </c>
      <c r="F633">
        <v>32151</v>
      </c>
      <c r="G633">
        <v>1050</v>
      </c>
      <c r="H633">
        <v>6000</v>
      </c>
      <c r="I633">
        <v>0</v>
      </c>
      <c r="J633">
        <v>0</v>
      </c>
      <c r="K633">
        <v>4362</v>
      </c>
      <c r="L633">
        <v>1298</v>
      </c>
      <c r="M633">
        <v>8.4</v>
      </c>
    </row>
    <row r="634" spans="1:13" x14ac:dyDescent="0.3">
      <c r="A634">
        <v>83</v>
      </c>
      <c r="B634">
        <v>620</v>
      </c>
      <c r="C634">
        <v>6000</v>
      </c>
      <c r="D634">
        <v>62718</v>
      </c>
      <c r="E634">
        <v>141962</v>
      </c>
      <c r="F634">
        <v>29691</v>
      </c>
      <c r="G634">
        <v>1669</v>
      </c>
      <c r="H634">
        <v>6000</v>
      </c>
      <c r="I634">
        <v>0</v>
      </c>
      <c r="J634">
        <v>98</v>
      </c>
      <c r="K634">
        <v>12538</v>
      </c>
      <c r="L634">
        <v>2581</v>
      </c>
      <c r="M634">
        <v>26.3</v>
      </c>
    </row>
    <row r="635" spans="1:13" x14ac:dyDescent="0.3">
      <c r="A635">
        <v>86</v>
      </c>
      <c r="B635">
        <v>610</v>
      </c>
      <c r="C635">
        <v>6000</v>
      </c>
      <c r="D635">
        <v>61536</v>
      </c>
      <c r="E635">
        <v>138443</v>
      </c>
      <c r="F635">
        <v>28849</v>
      </c>
      <c r="G635">
        <v>2135</v>
      </c>
      <c r="H635">
        <v>6000</v>
      </c>
      <c r="I635">
        <v>0</v>
      </c>
      <c r="J635">
        <v>152</v>
      </c>
      <c r="K635">
        <v>17485</v>
      </c>
      <c r="L635">
        <v>4606</v>
      </c>
      <c r="M635">
        <v>27.8</v>
      </c>
    </row>
    <row r="636" spans="1:13" x14ac:dyDescent="0.3">
      <c r="A636">
        <v>96</v>
      </c>
      <c r="B636">
        <v>662</v>
      </c>
      <c r="C636">
        <v>6000</v>
      </c>
      <c r="D636">
        <v>66294</v>
      </c>
      <c r="E636">
        <v>150657</v>
      </c>
      <c r="F636">
        <v>31436</v>
      </c>
      <c r="G636">
        <v>2730</v>
      </c>
      <c r="H636">
        <v>6000</v>
      </c>
      <c r="I636">
        <v>0</v>
      </c>
      <c r="J636">
        <v>298</v>
      </c>
      <c r="K636">
        <v>19774</v>
      </c>
      <c r="L636">
        <v>5892</v>
      </c>
      <c r="M636">
        <v>36.200000000000003</v>
      </c>
    </row>
    <row r="637" spans="1:13" x14ac:dyDescent="0.3">
      <c r="A637">
        <v>1</v>
      </c>
      <c r="B637">
        <v>11</v>
      </c>
      <c r="C637">
        <v>4492</v>
      </c>
      <c r="D637">
        <v>3768</v>
      </c>
      <c r="E637">
        <v>1605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 x14ac:dyDescent="0.3">
      <c r="A638">
        <v>4</v>
      </c>
      <c r="B638">
        <v>2</v>
      </c>
      <c r="C638">
        <v>5080</v>
      </c>
      <c r="D638">
        <v>2968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 x14ac:dyDescent="0.3">
      <c r="A639">
        <v>5</v>
      </c>
      <c r="B639">
        <v>5</v>
      </c>
      <c r="C639">
        <v>4925</v>
      </c>
      <c r="D639">
        <v>3273</v>
      </c>
      <c r="E639">
        <v>596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 x14ac:dyDescent="0.3">
      <c r="A640">
        <v>8</v>
      </c>
      <c r="B640">
        <v>1</v>
      </c>
      <c r="C640">
        <v>5363</v>
      </c>
      <c r="D640">
        <v>2806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 x14ac:dyDescent="0.3">
      <c r="A641">
        <v>9</v>
      </c>
      <c r="B641">
        <v>4</v>
      </c>
      <c r="C641">
        <v>5013</v>
      </c>
      <c r="D641">
        <v>3140</v>
      </c>
      <c r="E641">
        <v>480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 x14ac:dyDescent="0.3">
      <c r="A642">
        <v>10</v>
      </c>
      <c r="B642">
        <v>57</v>
      </c>
      <c r="C642">
        <v>4029</v>
      </c>
      <c r="D642">
        <v>6804</v>
      </c>
      <c r="E642">
        <v>7576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 x14ac:dyDescent="0.3">
      <c r="A643">
        <v>12</v>
      </c>
      <c r="B643">
        <v>9</v>
      </c>
      <c r="C643">
        <v>4643</v>
      </c>
      <c r="D643">
        <v>3628</v>
      </c>
      <c r="E643">
        <v>1265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 x14ac:dyDescent="0.3">
      <c r="A644">
        <v>13</v>
      </c>
      <c r="B644">
        <v>3</v>
      </c>
      <c r="C644">
        <v>5162</v>
      </c>
      <c r="D644">
        <v>3036</v>
      </c>
      <c r="E644">
        <v>322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 x14ac:dyDescent="0.3">
      <c r="A645">
        <v>14</v>
      </c>
      <c r="B645">
        <v>12</v>
      </c>
      <c r="C645">
        <v>4378</v>
      </c>
      <c r="D645">
        <v>3907</v>
      </c>
      <c r="E645">
        <v>1774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 x14ac:dyDescent="0.3">
      <c r="A646">
        <v>15</v>
      </c>
      <c r="B646">
        <v>8</v>
      </c>
      <c r="C646">
        <v>4595</v>
      </c>
      <c r="D646">
        <v>3562</v>
      </c>
      <c r="E646">
        <v>1093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 x14ac:dyDescent="0.3">
      <c r="A647">
        <v>16</v>
      </c>
      <c r="B647">
        <v>29</v>
      </c>
      <c r="C647">
        <v>3546</v>
      </c>
      <c r="D647">
        <v>5007</v>
      </c>
      <c r="E647">
        <v>3443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 x14ac:dyDescent="0.3">
      <c r="A648">
        <v>17</v>
      </c>
      <c r="B648">
        <v>2</v>
      </c>
      <c r="C648">
        <v>5124</v>
      </c>
      <c r="D648">
        <v>2944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 x14ac:dyDescent="0.3">
      <c r="A649">
        <v>18</v>
      </c>
      <c r="B649">
        <v>3</v>
      </c>
      <c r="C649">
        <v>5197</v>
      </c>
      <c r="D649">
        <v>3033</v>
      </c>
      <c r="E649">
        <v>325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</row>
    <row r="650" spans="1:13" x14ac:dyDescent="0.3">
      <c r="A650">
        <v>19</v>
      </c>
      <c r="B650">
        <v>0</v>
      </c>
      <c r="C650">
        <v>5639</v>
      </c>
      <c r="D650">
        <v>2683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 x14ac:dyDescent="0.3">
      <c r="A651">
        <v>20</v>
      </c>
      <c r="B651">
        <v>26</v>
      </c>
      <c r="C651">
        <v>3744</v>
      </c>
      <c r="D651">
        <v>4910</v>
      </c>
      <c r="E651">
        <v>3175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 x14ac:dyDescent="0.3">
      <c r="A652">
        <v>22</v>
      </c>
      <c r="B652">
        <v>14</v>
      </c>
      <c r="C652">
        <v>4216</v>
      </c>
      <c r="D652">
        <v>4053</v>
      </c>
      <c r="E652">
        <v>1990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 x14ac:dyDescent="0.3">
      <c r="A653">
        <v>24</v>
      </c>
      <c r="B653">
        <v>16</v>
      </c>
      <c r="C653">
        <v>4120</v>
      </c>
      <c r="D653">
        <v>4207</v>
      </c>
      <c r="E653">
        <v>2149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 x14ac:dyDescent="0.3">
      <c r="A654">
        <v>25</v>
      </c>
      <c r="B654">
        <v>5</v>
      </c>
      <c r="C654">
        <v>4893</v>
      </c>
      <c r="D654">
        <v>3279</v>
      </c>
      <c r="E654">
        <v>581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 x14ac:dyDescent="0.3">
      <c r="A655">
        <v>26</v>
      </c>
      <c r="B655">
        <v>15</v>
      </c>
      <c r="C655">
        <v>4178</v>
      </c>
      <c r="D655">
        <v>4182</v>
      </c>
      <c r="E655">
        <v>2136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 x14ac:dyDescent="0.3">
      <c r="A656">
        <v>28</v>
      </c>
      <c r="B656">
        <v>11</v>
      </c>
      <c r="C656">
        <v>4373</v>
      </c>
      <c r="D656">
        <v>3855</v>
      </c>
      <c r="E656">
        <v>1588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 x14ac:dyDescent="0.3">
      <c r="A657">
        <v>29</v>
      </c>
      <c r="B657">
        <v>27</v>
      </c>
      <c r="C657">
        <v>3657</v>
      </c>
      <c r="D657">
        <v>5017</v>
      </c>
      <c r="E657">
        <v>3163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 x14ac:dyDescent="0.3">
      <c r="A658">
        <v>30</v>
      </c>
      <c r="B658">
        <v>0</v>
      </c>
      <c r="C658">
        <v>5664</v>
      </c>
      <c r="D658">
        <v>2683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 x14ac:dyDescent="0.3">
      <c r="A659">
        <v>31</v>
      </c>
      <c r="B659">
        <v>1</v>
      </c>
      <c r="C659">
        <v>5353</v>
      </c>
      <c r="D659">
        <v>2840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 x14ac:dyDescent="0.3">
      <c r="A660">
        <v>33</v>
      </c>
      <c r="B660">
        <v>3</v>
      </c>
      <c r="C660">
        <v>5179</v>
      </c>
      <c r="D660">
        <v>3048</v>
      </c>
      <c r="E660">
        <v>350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 x14ac:dyDescent="0.3">
      <c r="A661">
        <v>35</v>
      </c>
      <c r="B661">
        <v>6</v>
      </c>
      <c r="C661">
        <v>4828</v>
      </c>
      <c r="D661">
        <v>3416</v>
      </c>
      <c r="E661">
        <v>793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 x14ac:dyDescent="0.3">
      <c r="A662">
        <v>37</v>
      </c>
      <c r="B662">
        <v>6</v>
      </c>
      <c r="C662">
        <v>4874</v>
      </c>
      <c r="D662">
        <v>3383</v>
      </c>
      <c r="E662">
        <v>819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 x14ac:dyDescent="0.3">
      <c r="A663">
        <v>38</v>
      </c>
      <c r="B663">
        <v>7</v>
      </c>
      <c r="C663">
        <v>4783</v>
      </c>
      <c r="D663">
        <v>3534</v>
      </c>
      <c r="E663">
        <v>1020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 x14ac:dyDescent="0.3">
      <c r="A664">
        <v>39</v>
      </c>
      <c r="B664">
        <v>9</v>
      </c>
      <c r="C664">
        <v>4557</v>
      </c>
      <c r="D664">
        <v>3695</v>
      </c>
      <c r="E664">
        <v>1240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 x14ac:dyDescent="0.3">
      <c r="A665">
        <v>40</v>
      </c>
      <c r="B665">
        <v>3</v>
      </c>
      <c r="C665">
        <v>5117</v>
      </c>
      <c r="D665">
        <v>3099</v>
      </c>
      <c r="E665">
        <v>320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 x14ac:dyDescent="0.3">
      <c r="A666">
        <v>41</v>
      </c>
      <c r="B666">
        <v>18</v>
      </c>
      <c r="C666">
        <v>4029</v>
      </c>
      <c r="D666">
        <v>4356</v>
      </c>
      <c r="E666">
        <v>2424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 x14ac:dyDescent="0.3">
      <c r="A667">
        <v>42</v>
      </c>
      <c r="B667">
        <v>26</v>
      </c>
      <c r="C667">
        <v>3672</v>
      </c>
      <c r="D667">
        <v>4869</v>
      </c>
      <c r="E667">
        <v>3072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 x14ac:dyDescent="0.3">
      <c r="A668">
        <v>43</v>
      </c>
      <c r="B668">
        <v>6</v>
      </c>
      <c r="C668">
        <v>4898</v>
      </c>
      <c r="D668">
        <v>3429</v>
      </c>
      <c r="E668">
        <v>819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 x14ac:dyDescent="0.3">
      <c r="A669">
        <v>44</v>
      </c>
      <c r="B669">
        <v>9</v>
      </c>
      <c r="C669">
        <v>4645</v>
      </c>
      <c r="D669">
        <v>3678</v>
      </c>
      <c r="E669">
        <v>1317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 x14ac:dyDescent="0.3">
      <c r="A670">
        <v>45</v>
      </c>
      <c r="B670">
        <v>17</v>
      </c>
      <c r="C670">
        <v>4133</v>
      </c>
      <c r="D670">
        <v>4317</v>
      </c>
      <c r="E670">
        <v>2408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 x14ac:dyDescent="0.3">
      <c r="A671">
        <v>46</v>
      </c>
      <c r="B671">
        <v>19</v>
      </c>
      <c r="C671">
        <v>4053</v>
      </c>
      <c r="D671">
        <v>4376</v>
      </c>
      <c r="E671">
        <v>2597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 x14ac:dyDescent="0.3">
      <c r="A672">
        <v>47</v>
      </c>
      <c r="B672">
        <v>5</v>
      </c>
      <c r="C672">
        <v>4879</v>
      </c>
      <c r="D672">
        <v>3278</v>
      </c>
      <c r="E672">
        <v>566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 x14ac:dyDescent="0.3">
      <c r="A673">
        <v>48</v>
      </c>
      <c r="B673">
        <v>24</v>
      </c>
      <c r="C673">
        <v>3765</v>
      </c>
      <c r="D673">
        <v>4801</v>
      </c>
      <c r="E673">
        <v>2996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  <row r="674" spans="1:13" x14ac:dyDescent="0.3">
      <c r="A674">
        <v>49</v>
      </c>
      <c r="B674">
        <v>17</v>
      </c>
      <c r="C674">
        <v>4167</v>
      </c>
      <c r="D674">
        <v>4193</v>
      </c>
      <c r="E674">
        <v>2373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</row>
    <row r="675" spans="1:13" x14ac:dyDescent="0.3">
      <c r="A675">
        <v>51</v>
      </c>
      <c r="B675">
        <v>7</v>
      </c>
      <c r="C675">
        <v>4830</v>
      </c>
      <c r="D675">
        <v>3446</v>
      </c>
      <c r="E675">
        <v>1005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 spans="1:13" x14ac:dyDescent="0.3">
      <c r="A676">
        <v>52</v>
      </c>
      <c r="B676">
        <v>23</v>
      </c>
      <c r="C676">
        <v>3792</v>
      </c>
      <c r="D676">
        <v>4712</v>
      </c>
      <c r="E676">
        <v>2925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</row>
    <row r="677" spans="1:13" x14ac:dyDescent="0.3">
      <c r="A677">
        <v>54</v>
      </c>
      <c r="B677">
        <v>49</v>
      </c>
      <c r="C677">
        <v>4151</v>
      </c>
      <c r="D677">
        <v>6372</v>
      </c>
      <c r="E677">
        <v>6601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</row>
    <row r="678" spans="1:13" x14ac:dyDescent="0.3">
      <c r="A678">
        <v>55</v>
      </c>
      <c r="B678">
        <v>11</v>
      </c>
      <c r="C678">
        <v>4393</v>
      </c>
      <c r="D678">
        <v>3874</v>
      </c>
      <c r="E678">
        <v>1537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</row>
    <row r="679" spans="1:13" x14ac:dyDescent="0.3">
      <c r="A679">
        <v>56</v>
      </c>
      <c r="B679">
        <v>5</v>
      </c>
      <c r="C679">
        <v>4815</v>
      </c>
      <c r="D679">
        <v>3296</v>
      </c>
      <c r="E679">
        <v>564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 x14ac:dyDescent="0.3">
      <c r="A680">
        <v>57</v>
      </c>
      <c r="B680">
        <v>29</v>
      </c>
      <c r="C680">
        <v>3658</v>
      </c>
      <c r="D680">
        <v>5092</v>
      </c>
      <c r="E680">
        <v>3462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</row>
    <row r="681" spans="1:13" x14ac:dyDescent="0.3">
      <c r="A681">
        <v>58</v>
      </c>
      <c r="B681">
        <v>4</v>
      </c>
      <c r="C681">
        <v>5109</v>
      </c>
      <c r="D681">
        <v>3135</v>
      </c>
      <c r="E681">
        <v>517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</row>
    <row r="682" spans="1:13" x14ac:dyDescent="0.3">
      <c r="A682">
        <v>59</v>
      </c>
      <c r="B682">
        <v>1</v>
      </c>
      <c r="C682">
        <v>5363</v>
      </c>
      <c r="D682">
        <v>2845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 x14ac:dyDescent="0.3">
      <c r="A683">
        <v>62</v>
      </c>
      <c r="B683">
        <v>23</v>
      </c>
      <c r="C683">
        <v>3785</v>
      </c>
      <c r="D683">
        <v>4643</v>
      </c>
      <c r="E683">
        <v>2887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</row>
    <row r="684" spans="1:13" x14ac:dyDescent="0.3">
      <c r="A684">
        <v>63</v>
      </c>
      <c r="B684">
        <v>7</v>
      </c>
      <c r="C684">
        <v>4823</v>
      </c>
      <c r="D684">
        <v>3510</v>
      </c>
      <c r="E684">
        <v>1014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</row>
    <row r="685" spans="1:13" x14ac:dyDescent="0.3">
      <c r="A685">
        <v>65</v>
      </c>
      <c r="B685">
        <v>0</v>
      </c>
      <c r="C685">
        <v>5649</v>
      </c>
      <c r="D685">
        <v>2675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</row>
    <row r="686" spans="1:13" x14ac:dyDescent="0.3">
      <c r="A686">
        <v>66</v>
      </c>
      <c r="B686">
        <v>6</v>
      </c>
      <c r="C686">
        <v>4848</v>
      </c>
      <c r="D686">
        <v>3393</v>
      </c>
      <c r="E686">
        <v>759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</row>
    <row r="687" spans="1:13" x14ac:dyDescent="0.3">
      <c r="A687">
        <v>67</v>
      </c>
      <c r="B687">
        <v>0</v>
      </c>
      <c r="C687">
        <v>5657</v>
      </c>
      <c r="D687">
        <v>2685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</row>
    <row r="688" spans="1:13" x14ac:dyDescent="0.3">
      <c r="A688">
        <v>68</v>
      </c>
      <c r="B688">
        <v>2</v>
      </c>
      <c r="C688">
        <v>5109</v>
      </c>
      <c r="D688">
        <v>2961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</row>
    <row r="689" spans="1:13" x14ac:dyDescent="0.3">
      <c r="A689">
        <v>69</v>
      </c>
      <c r="B689">
        <v>0</v>
      </c>
      <c r="C689">
        <v>5672</v>
      </c>
      <c r="D689">
        <v>2682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</row>
    <row r="690" spans="1:13" x14ac:dyDescent="0.3">
      <c r="A690">
        <v>71</v>
      </c>
      <c r="B690">
        <v>28</v>
      </c>
      <c r="C690">
        <v>3738</v>
      </c>
      <c r="D690">
        <v>5045</v>
      </c>
      <c r="E690">
        <v>3461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</row>
    <row r="691" spans="1:13" x14ac:dyDescent="0.3">
      <c r="A691">
        <v>72</v>
      </c>
      <c r="B691">
        <v>4</v>
      </c>
      <c r="C691">
        <v>5092</v>
      </c>
      <c r="D691">
        <v>3159</v>
      </c>
      <c r="E691">
        <v>480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</row>
    <row r="692" spans="1:13" x14ac:dyDescent="0.3">
      <c r="A692">
        <v>73</v>
      </c>
      <c r="B692">
        <v>4</v>
      </c>
      <c r="C692">
        <v>5158</v>
      </c>
      <c r="D692">
        <v>3159</v>
      </c>
      <c r="E692">
        <v>518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3" x14ac:dyDescent="0.3">
      <c r="A693">
        <v>74</v>
      </c>
      <c r="B693">
        <v>7</v>
      </c>
      <c r="C693">
        <v>4835</v>
      </c>
      <c r="D693">
        <v>3463</v>
      </c>
      <c r="E693">
        <v>966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</row>
    <row r="694" spans="1:13" x14ac:dyDescent="0.3">
      <c r="A694">
        <v>75</v>
      </c>
      <c r="B694">
        <v>0</v>
      </c>
      <c r="C694">
        <v>5691</v>
      </c>
      <c r="D694">
        <v>2672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</row>
    <row r="695" spans="1:13" x14ac:dyDescent="0.3">
      <c r="A695">
        <v>76</v>
      </c>
      <c r="B695">
        <v>5</v>
      </c>
      <c r="C695">
        <v>4867</v>
      </c>
      <c r="D695">
        <v>3307</v>
      </c>
      <c r="E695">
        <v>557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 x14ac:dyDescent="0.3">
      <c r="A696">
        <v>77</v>
      </c>
      <c r="B696">
        <v>15</v>
      </c>
      <c r="C696">
        <v>4169</v>
      </c>
      <c r="D696">
        <v>4050</v>
      </c>
      <c r="E696">
        <v>2023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 x14ac:dyDescent="0.3">
      <c r="A697">
        <v>78</v>
      </c>
      <c r="B697">
        <v>4</v>
      </c>
      <c r="C697">
        <v>5074</v>
      </c>
      <c r="D697">
        <v>3129</v>
      </c>
      <c r="E697">
        <v>491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</row>
    <row r="698" spans="1:13" x14ac:dyDescent="0.3">
      <c r="A698">
        <v>81</v>
      </c>
      <c r="B698">
        <v>78</v>
      </c>
      <c r="C698">
        <v>5388</v>
      </c>
      <c r="D698">
        <v>8270</v>
      </c>
      <c r="E698">
        <v>12045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</row>
    <row r="699" spans="1:13" x14ac:dyDescent="0.3">
      <c r="A699">
        <v>84</v>
      </c>
      <c r="B699">
        <v>1</v>
      </c>
      <c r="C699">
        <v>5336</v>
      </c>
      <c r="D699">
        <v>2834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</row>
    <row r="700" spans="1:13" x14ac:dyDescent="0.3">
      <c r="A700">
        <v>85</v>
      </c>
      <c r="B700">
        <v>7</v>
      </c>
      <c r="C700">
        <v>4771</v>
      </c>
      <c r="D700">
        <v>3480</v>
      </c>
      <c r="E700">
        <v>1038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</row>
    <row r="701" spans="1:13" x14ac:dyDescent="0.3">
      <c r="A701">
        <v>87</v>
      </c>
      <c r="B701">
        <v>5</v>
      </c>
      <c r="C701">
        <v>4863</v>
      </c>
      <c r="D701">
        <v>3286</v>
      </c>
      <c r="E701">
        <v>539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</row>
    <row r="702" spans="1:13" x14ac:dyDescent="0.3">
      <c r="A702">
        <v>88</v>
      </c>
      <c r="B702">
        <v>0</v>
      </c>
      <c r="C702">
        <v>5670</v>
      </c>
      <c r="D702">
        <v>2681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 spans="1:13" x14ac:dyDescent="0.3">
      <c r="A703">
        <v>89</v>
      </c>
      <c r="B703">
        <v>23</v>
      </c>
      <c r="C703">
        <v>3755</v>
      </c>
      <c r="D703">
        <v>4675</v>
      </c>
      <c r="E703">
        <v>2817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</row>
    <row r="704" spans="1:13" x14ac:dyDescent="0.3">
      <c r="A704">
        <v>90</v>
      </c>
      <c r="B704">
        <v>33</v>
      </c>
      <c r="C704">
        <v>3707</v>
      </c>
      <c r="D704">
        <v>5376</v>
      </c>
      <c r="E704">
        <v>4014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</row>
    <row r="705" spans="1:27" x14ac:dyDescent="0.3">
      <c r="A705">
        <v>91</v>
      </c>
      <c r="B705">
        <v>6</v>
      </c>
      <c r="C705">
        <v>4812</v>
      </c>
      <c r="D705">
        <v>3402</v>
      </c>
      <c r="E705">
        <v>835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</row>
    <row r="706" spans="1:27" x14ac:dyDescent="0.3">
      <c r="A706">
        <v>92</v>
      </c>
      <c r="B706">
        <v>19</v>
      </c>
      <c r="C706">
        <v>3971</v>
      </c>
      <c r="D706">
        <v>4358</v>
      </c>
      <c r="E706">
        <v>2451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27" x14ac:dyDescent="0.3">
      <c r="A707">
        <v>93</v>
      </c>
      <c r="B707">
        <v>34</v>
      </c>
      <c r="C707">
        <v>3632</v>
      </c>
      <c r="D707">
        <v>5539</v>
      </c>
      <c r="E707">
        <v>4139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</row>
    <row r="708" spans="1:27" x14ac:dyDescent="0.3">
      <c r="A708">
        <v>94</v>
      </c>
      <c r="B708">
        <v>5</v>
      </c>
      <c r="C708">
        <v>4831</v>
      </c>
      <c r="D708">
        <v>3312</v>
      </c>
      <c r="E708">
        <v>563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</row>
    <row r="709" spans="1:27" x14ac:dyDescent="0.3">
      <c r="A709">
        <v>95</v>
      </c>
      <c r="B709">
        <v>15</v>
      </c>
      <c r="C709">
        <v>4107</v>
      </c>
      <c r="D709">
        <v>4185</v>
      </c>
      <c r="E709">
        <v>2102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</row>
    <row r="710" spans="1:27" x14ac:dyDescent="0.3">
      <c r="A710">
        <v>97</v>
      </c>
      <c r="B710">
        <v>27</v>
      </c>
      <c r="C710">
        <v>3740</v>
      </c>
      <c r="D710">
        <v>4878</v>
      </c>
      <c r="E710">
        <v>3272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</row>
    <row r="711" spans="1:27" x14ac:dyDescent="0.3">
      <c r="A711">
        <v>98</v>
      </c>
      <c r="B711">
        <v>20</v>
      </c>
      <c r="C711">
        <v>3845</v>
      </c>
      <c r="D711">
        <v>4496</v>
      </c>
      <c r="E711">
        <v>2584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</row>
    <row r="712" spans="1:27" x14ac:dyDescent="0.3">
      <c r="A712">
        <v>99</v>
      </c>
      <c r="B712">
        <v>15</v>
      </c>
      <c r="C712">
        <v>4167</v>
      </c>
      <c r="D712">
        <v>4212</v>
      </c>
      <c r="E712">
        <v>2048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</row>
    <row r="713" spans="1:27" x14ac:dyDescent="0.3">
      <c r="A713">
        <v>100</v>
      </c>
      <c r="B713">
        <v>3</v>
      </c>
      <c r="C713">
        <v>5189</v>
      </c>
      <c r="D713">
        <v>3062</v>
      </c>
      <c r="E713">
        <v>332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</row>
    <row r="715" spans="1:27" x14ac:dyDescent="0.3">
      <c r="A715" t="s">
        <v>0</v>
      </c>
      <c r="B715" t="s">
        <v>1</v>
      </c>
      <c r="C715" t="s">
        <v>2</v>
      </c>
      <c r="D715" t="s">
        <v>3</v>
      </c>
      <c r="E715" t="s">
        <v>4</v>
      </c>
      <c r="F715" t="s">
        <v>6</v>
      </c>
      <c r="G715" t="s">
        <v>7</v>
      </c>
      <c r="H715" t="s">
        <v>8</v>
      </c>
      <c r="I715" t="s">
        <v>9</v>
      </c>
      <c r="J715" t="s">
        <v>11</v>
      </c>
      <c r="K715" t="s">
        <v>12</v>
      </c>
      <c r="L715" t="s">
        <v>13</v>
      </c>
      <c r="M715" t="s">
        <v>16</v>
      </c>
      <c r="O715" s="6" t="s">
        <v>76</v>
      </c>
      <c r="P715" s="3" t="s">
        <v>69</v>
      </c>
      <c r="Q715" s="4"/>
      <c r="R715" s="3" t="s">
        <v>71</v>
      </c>
      <c r="S715" s="5"/>
      <c r="T715" s="5"/>
      <c r="U715" s="5"/>
      <c r="V715" s="4"/>
      <c r="W715" s="5" t="s">
        <v>61</v>
      </c>
      <c r="X715" s="5"/>
      <c r="Y715" s="5"/>
      <c r="Z715" s="5"/>
      <c r="AA715" s="5"/>
    </row>
    <row r="716" spans="1:27" x14ac:dyDescent="0.3">
      <c r="A716">
        <v>4</v>
      </c>
      <c r="B716">
        <v>611</v>
      </c>
      <c r="C716">
        <v>7000</v>
      </c>
      <c r="D716">
        <v>71538</v>
      </c>
      <c r="E716">
        <v>160917</v>
      </c>
      <c r="F716">
        <v>33045</v>
      </c>
      <c r="G716">
        <v>2055</v>
      </c>
      <c r="H716">
        <v>7000</v>
      </c>
      <c r="I716">
        <v>0</v>
      </c>
      <c r="J716">
        <v>155</v>
      </c>
      <c r="K716">
        <v>11964</v>
      </c>
      <c r="L716">
        <v>2915</v>
      </c>
      <c r="M716">
        <v>21.1</v>
      </c>
      <c r="O716" s="7"/>
      <c r="P716" s="13" t="s">
        <v>2</v>
      </c>
      <c r="Q716" s="14" t="s">
        <v>70</v>
      </c>
      <c r="R716" s="13" t="s">
        <v>2</v>
      </c>
      <c r="S716" s="2" t="s">
        <v>66</v>
      </c>
      <c r="T716" s="2" t="s">
        <v>65</v>
      </c>
      <c r="U716" s="2" t="s">
        <v>64</v>
      </c>
      <c r="V716" s="14" t="s">
        <v>63</v>
      </c>
      <c r="W716" s="2" t="s">
        <v>2</v>
      </c>
      <c r="X716" s="2" t="s">
        <v>66</v>
      </c>
      <c r="Y716" s="2"/>
      <c r="Z716" s="2" t="s">
        <v>67</v>
      </c>
      <c r="AA716" s="2" t="s">
        <v>68</v>
      </c>
    </row>
    <row r="717" spans="1:27" x14ac:dyDescent="0.3">
      <c r="A717">
        <v>5</v>
      </c>
      <c r="B717">
        <v>545</v>
      </c>
      <c r="C717">
        <v>7000</v>
      </c>
      <c r="D717">
        <v>64003</v>
      </c>
      <c r="E717">
        <v>143365</v>
      </c>
      <c r="F717">
        <v>29164</v>
      </c>
      <c r="G717">
        <v>3120</v>
      </c>
      <c r="H717">
        <v>7000</v>
      </c>
      <c r="I717">
        <v>0</v>
      </c>
      <c r="J717">
        <v>183</v>
      </c>
      <c r="K717">
        <v>37342</v>
      </c>
      <c r="L717">
        <v>7934</v>
      </c>
      <c r="M717">
        <v>53.8</v>
      </c>
      <c r="O717" s="1">
        <v>1000</v>
      </c>
      <c r="P717" s="8">
        <f>COUNT(H512:H589)</f>
        <v>78</v>
      </c>
      <c r="Q717" s="9">
        <f>AVERAGE(B512:B589)</f>
        <v>89.858974358974365</v>
      </c>
      <c r="R717" s="8">
        <v>22</v>
      </c>
      <c r="S717" s="10">
        <f>AVERAGE(B590:B611)</f>
        <v>16.90909090909091</v>
      </c>
      <c r="T717" s="11">
        <f>MIN(B590:B611)</f>
        <v>0</v>
      </c>
      <c r="U717" s="11">
        <f>MAX(B590:B611)</f>
        <v>48</v>
      </c>
      <c r="V717" s="9">
        <f>STDEV(B590:B611)</f>
        <v>14.030270305610111</v>
      </c>
      <c r="W717" s="12">
        <v>22</v>
      </c>
      <c r="X717" s="12">
        <f>AVERAGE(G590:G611)</f>
        <v>0</v>
      </c>
      <c r="Y717" s="12"/>
      <c r="Z717" s="1">
        <v>8</v>
      </c>
      <c r="AA717" s="12">
        <f>AVERAGE(M590:M611)</f>
        <v>0</v>
      </c>
    </row>
    <row r="718" spans="1:27" x14ac:dyDescent="0.3">
      <c r="A718">
        <v>9</v>
      </c>
      <c r="B718">
        <v>681</v>
      </c>
      <c r="C718">
        <v>7000</v>
      </c>
      <c r="D718">
        <v>80058</v>
      </c>
      <c r="E718">
        <v>180521</v>
      </c>
      <c r="F718">
        <v>38081</v>
      </c>
      <c r="G718">
        <v>1905</v>
      </c>
      <c r="H718">
        <v>7000</v>
      </c>
      <c r="I718">
        <v>0</v>
      </c>
      <c r="J718">
        <v>1</v>
      </c>
      <c r="K718">
        <v>9503</v>
      </c>
      <c r="L718">
        <v>2833</v>
      </c>
      <c r="M718">
        <v>17</v>
      </c>
      <c r="O718" s="1">
        <v>2000</v>
      </c>
      <c r="P718" s="8">
        <v>75</v>
      </c>
      <c r="Q718" s="9">
        <v>15.16</v>
      </c>
      <c r="R718" s="8">
        <v>25</v>
      </c>
      <c r="S718" s="10">
        <v>601.55999999999995</v>
      </c>
      <c r="T718" s="11">
        <f>MIN(B614:B638)</f>
        <v>2</v>
      </c>
      <c r="U718" s="11">
        <f>MAX(B614:B638)</f>
        <v>723</v>
      </c>
      <c r="V718" s="9">
        <f>STDEV(B614:B638)</f>
        <v>177.68012456846907</v>
      </c>
      <c r="W718" s="12">
        <v>25</v>
      </c>
      <c r="X718" s="12">
        <f>AVERAGE(G614:G638)</f>
        <v>1817.92</v>
      </c>
      <c r="Y718" s="12"/>
      <c r="Z718" s="1">
        <v>5</v>
      </c>
      <c r="AA718" s="12">
        <f>AVERAGE(M614:M638)</f>
        <v>24.427999999999997</v>
      </c>
    </row>
    <row r="719" spans="1:27" x14ac:dyDescent="0.3">
      <c r="A719">
        <v>11</v>
      </c>
      <c r="B719">
        <v>511</v>
      </c>
      <c r="C719">
        <v>7000</v>
      </c>
      <c r="D719">
        <v>59643</v>
      </c>
      <c r="E719">
        <v>133438</v>
      </c>
      <c r="F719">
        <v>26743</v>
      </c>
      <c r="G719">
        <v>3941</v>
      </c>
      <c r="H719">
        <v>7000</v>
      </c>
      <c r="I719">
        <v>9</v>
      </c>
      <c r="J719">
        <v>205</v>
      </c>
      <c r="K719">
        <v>40235</v>
      </c>
      <c r="L719">
        <v>8920</v>
      </c>
      <c r="M719">
        <v>62.3</v>
      </c>
      <c r="O719">
        <v>3000</v>
      </c>
      <c r="P719">
        <v>72</v>
      </c>
      <c r="Q719">
        <v>16.010000000000002</v>
      </c>
      <c r="R719">
        <v>28</v>
      </c>
      <c r="S719">
        <f>AVERAGE(B512:B539)</f>
        <v>224.07142857142858</v>
      </c>
      <c r="T719">
        <f>MIN(B512:B539)</f>
        <v>0</v>
      </c>
      <c r="U719">
        <f>MAX(B512:B539)</f>
        <v>658</v>
      </c>
      <c r="V719">
        <f>STDEV(B512:B539)</f>
        <v>287.3368043837043</v>
      </c>
      <c r="W719">
        <v>28</v>
      </c>
      <c r="X719">
        <v>1730</v>
      </c>
      <c r="Z719">
        <v>5</v>
      </c>
      <c r="AA719">
        <f>AVERAGE(M512:M539)</f>
        <v>10.903571428571428</v>
      </c>
    </row>
    <row r="720" spans="1:27" x14ac:dyDescent="0.3">
      <c r="A720">
        <v>12</v>
      </c>
      <c r="B720">
        <v>667</v>
      </c>
      <c r="C720">
        <v>7000</v>
      </c>
      <c r="D720">
        <v>78538</v>
      </c>
      <c r="E720">
        <v>177280</v>
      </c>
      <c r="F720">
        <v>37151</v>
      </c>
      <c r="G720">
        <v>1437</v>
      </c>
      <c r="H720">
        <v>7000</v>
      </c>
      <c r="I720">
        <v>0</v>
      </c>
      <c r="J720">
        <v>54</v>
      </c>
      <c r="K720">
        <v>6140</v>
      </c>
      <c r="L720">
        <v>1842</v>
      </c>
      <c r="M720">
        <v>12.3</v>
      </c>
      <c r="O720">
        <v>4000</v>
      </c>
      <c r="P720">
        <v>75</v>
      </c>
      <c r="Q720">
        <v>10.4</v>
      </c>
      <c r="R720" s="17">
        <v>25</v>
      </c>
      <c r="S720">
        <v>621.20000000000005</v>
      </c>
      <c r="T720">
        <f>MIN(B512:B536)</f>
        <v>0</v>
      </c>
      <c r="U720">
        <f>MAX(B512:B536)</f>
        <v>658</v>
      </c>
      <c r="V720">
        <f>STDEV(B512:B536)</f>
        <v>294.76308565806988</v>
      </c>
      <c r="W720">
        <v>25</v>
      </c>
      <c r="X720">
        <v>1674.7</v>
      </c>
      <c r="Z720" s="1">
        <v>4</v>
      </c>
      <c r="AA720">
        <f>AVERAGE(M512:M536)</f>
        <v>12.212</v>
      </c>
    </row>
    <row r="721" spans="1:27" x14ac:dyDescent="0.3">
      <c r="A721">
        <v>13</v>
      </c>
      <c r="B721">
        <v>647</v>
      </c>
      <c r="C721">
        <v>7000</v>
      </c>
      <c r="D721">
        <v>75673</v>
      </c>
      <c r="E721">
        <v>170329</v>
      </c>
      <c r="F721">
        <v>35034</v>
      </c>
      <c r="G721">
        <v>2874</v>
      </c>
      <c r="H721">
        <v>7000</v>
      </c>
      <c r="I721">
        <v>0</v>
      </c>
      <c r="J721">
        <v>110</v>
      </c>
      <c r="K721">
        <v>17404</v>
      </c>
      <c r="L721">
        <v>5231</v>
      </c>
      <c r="M721">
        <v>24.5</v>
      </c>
      <c r="O721">
        <v>5000</v>
      </c>
      <c r="P721" s="17">
        <v>90</v>
      </c>
      <c r="Q721">
        <v>15.25</v>
      </c>
      <c r="R721" s="17">
        <v>10</v>
      </c>
      <c r="S721">
        <v>600.70000000000005</v>
      </c>
      <c r="T721" s="17">
        <v>533</v>
      </c>
      <c r="U721">
        <v>637</v>
      </c>
      <c r="V721">
        <f>STDEV(B512:B521)</f>
        <v>45.813753393495276</v>
      </c>
      <c r="W721">
        <v>25</v>
      </c>
      <c r="X721">
        <f>AVERAGE(G512:G521)</f>
        <v>2022</v>
      </c>
      <c r="Z721" s="1">
        <v>2</v>
      </c>
      <c r="AA721">
        <f>AVERAGE(M512:M521)</f>
        <v>30.53</v>
      </c>
    </row>
    <row r="722" spans="1:27" x14ac:dyDescent="0.3">
      <c r="A722">
        <v>17</v>
      </c>
      <c r="B722">
        <v>545</v>
      </c>
      <c r="C722">
        <v>7000</v>
      </c>
      <c r="D722">
        <v>63843</v>
      </c>
      <c r="E722">
        <v>142204</v>
      </c>
      <c r="F722">
        <v>28460</v>
      </c>
      <c r="G722">
        <v>2873</v>
      </c>
      <c r="H722">
        <v>7000</v>
      </c>
      <c r="I722">
        <v>0</v>
      </c>
      <c r="J722">
        <v>94</v>
      </c>
      <c r="K722">
        <v>18336</v>
      </c>
      <c r="L722">
        <v>4674</v>
      </c>
      <c r="M722">
        <v>32.4</v>
      </c>
      <c r="O722">
        <v>6000</v>
      </c>
      <c r="P722" s="17">
        <v>77</v>
      </c>
      <c r="Q722">
        <v>12.5</v>
      </c>
      <c r="R722" s="17">
        <v>23</v>
      </c>
      <c r="S722">
        <v>622</v>
      </c>
      <c r="T722">
        <f>MIN(B614:B636)</f>
        <v>520</v>
      </c>
      <c r="U722">
        <f>MAX(B614:B636)</f>
        <v>723</v>
      </c>
      <c r="V722">
        <f>STDEV(B614:B636)</f>
        <v>52.55984731148974</v>
      </c>
      <c r="W722">
        <v>23</v>
      </c>
      <c r="X722">
        <f>AVERAGE(G614:G636)</f>
        <v>1976</v>
      </c>
      <c r="Z722" s="1">
        <v>2</v>
      </c>
      <c r="AA722">
        <f>AVERAGE(M614:M636)</f>
        <v>26.552173913043475</v>
      </c>
    </row>
    <row r="723" spans="1:27" x14ac:dyDescent="0.3">
      <c r="A723">
        <v>29</v>
      </c>
      <c r="B723">
        <v>602</v>
      </c>
      <c r="C723">
        <v>7000</v>
      </c>
      <c r="D723">
        <v>71099</v>
      </c>
      <c r="E723">
        <v>159845</v>
      </c>
      <c r="F723">
        <v>32792</v>
      </c>
      <c r="G723">
        <v>3304</v>
      </c>
      <c r="H723">
        <v>7000</v>
      </c>
      <c r="I723">
        <v>10</v>
      </c>
      <c r="J723">
        <v>288</v>
      </c>
      <c r="K723">
        <v>26335</v>
      </c>
      <c r="L723">
        <v>6496</v>
      </c>
      <c r="M723">
        <v>39.299999999999997</v>
      </c>
      <c r="O723">
        <v>7000</v>
      </c>
      <c r="P723" s="17">
        <v>76</v>
      </c>
      <c r="Q723">
        <v>14</v>
      </c>
      <c r="R723" s="17">
        <v>24</v>
      </c>
      <c r="S723">
        <v>616.79999999999995</v>
      </c>
      <c r="T723">
        <f>MIN(B716:B739)</f>
        <v>509</v>
      </c>
      <c r="U723">
        <f>MAX(B716:B739)</f>
        <v>729</v>
      </c>
      <c r="V723">
        <f>STDEV(B716:B739)</f>
        <v>62.057943937880353</v>
      </c>
      <c r="W723">
        <v>24</v>
      </c>
      <c r="X723">
        <f>AVERAGE(G716:G739)</f>
        <v>2686.25</v>
      </c>
      <c r="Z723" s="1">
        <v>4</v>
      </c>
      <c r="AA723">
        <f>AVERAGE(M716:M739)</f>
        <v>33.412500000000001</v>
      </c>
    </row>
    <row r="724" spans="1:27" x14ac:dyDescent="0.3">
      <c r="A724">
        <v>37</v>
      </c>
      <c r="B724">
        <v>653</v>
      </c>
      <c r="C724">
        <v>7000</v>
      </c>
      <c r="D724">
        <v>76841</v>
      </c>
      <c r="E724">
        <v>173365</v>
      </c>
      <c r="F724">
        <v>36321</v>
      </c>
      <c r="G724">
        <v>2145</v>
      </c>
      <c r="H724">
        <v>7000</v>
      </c>
      <c r="I724">
        <v>0</v>
      </c>
      <c r="J724">
        <v>189</v>
      </c>
      <c r="K724">
        <v>13262</v>
      </c>
      <c r="L724">
        <v>3457</v>
      </c>
      <c r="M724">
        <v>21.6</v>
      </c>
    </row>
    <row r="725" spans="1:27" x14ac:dyDescent="0.3">
      <c r="A725">
        <v>39</v>
      </c>
      <c r="B725">
        <v>605</v>
      </c>
      <c r="C725">
        <v>7000</v>
      </c>
      <c r="D725">
        <v>70843</v>
      </c>
      <c r="E725">
        <v>159258</v>
      </c>
      <c r="F725">
        <v>33124</v>
      </c>
      <c r="G725">
        <v>2896</v>
      </c>
      <c r="H725">
        <v>7000</v>
      </c>
      <c r="I725">
        <v>0</v>
      </c>
      <c r="J725">
        <v>89</v>
      </c>
      <c r="K725">
        <v>25098</v>
      </c>
      <c r="L725">
        <v>5731</v>
      </c>
      <c r="M725">
        <v>38.200000000000003</v>
      </c>
    </row>
    <row r="726" spans="1:27" x14ac:dyDescent="0.3">
      <c r="A726">
        <v>41</v>
      </c>
      <c r="B726">
        <v>521</v>
      </c>
      <c r="C726">
        <v>7000</v>
      </c>
      <c r="D726">
        <v>61203</v>
      </c>
      <c r="E726">
        <v>136501</v>
      </c>
      <c r="F726">
        <v>27523</v>
      </c>
      <c r="G726">
        <v>5586</v>
      </c>
      <c r="H726">
        <v>7000</v>
      </c>
      <c r="I726">
        <v>0</v>
      </c>
      <c r="J726">
        <v>556</v>
      </c>
      <c r="K726">
        <v>97263</v>
      </c>
      <c r="L726">
        <v>21209</v>
      </c>
      <c r="M726">
        <v>86.9</v>
      </c>
    </row>
    <row r="727" spans="1:27" x14ac:dyDescent="0.3">
      <c r="A727">
        <v>42</v>
      </c>
      <c r="B727">
        <v>663</v>
      </c>
      <c r="C727">
        <v>7000</v>
      </c>
      <c r="D727">
        <v>77688</v>
      </c>
      <c r="E727">
        <v>175726</v>
      </c>
      <c r="F727">
        <v>36121</v>
      </c>
      <c r="G727">
        <v>1417</v>
      </c>
      <c r="H727">
        <v>7000</v>
      </c>
      <c r="I727">
        <v>0</v>
      </c>
      <c r="J727">
        <v>72</v>
      </c>
      <c r="K727">
        <v>8133</v>
      </c>
      <c r="L727">
        <v>2113</v>
      </c>
      <c r="M727">
        <v>14.7</v>
      </c>
    </row>
    <row r="728" spans="1:27" x14ac:dyDescent="0.3">
      <c r="A728">
        <v>43</v>
      </c>
      <c r="B728">
        <v>509</v>
      </c>
      <c r="C728">
        <v>7000</v>
      </c>
      <c r="D728">
        <v>59436</v>
      </c>
      <c r="E728">
        <v>132382</v>
      </c>
      <c r="F728">
        <v>26421</v>
      </c>
      <c r="G728">
        <v>3420</v>
      </c>
      <c r="H728">
        <v>7000</v>
      </c>
      <c r="I728">
        <v>12</v>
      </c>
      <c r="J728">
        <v>136</v>
      </c>
      <c r="K728">
        <v>27427</v>
      </c>
      <c r="L728">
        <v>5745</v>
      </c>
      <c r="M728">
        <v>54.1</v>
      </c>
    </row>
    <row r="729" spans="1:27" x14ac:dyDescent="0.3">
      <c r="A729">
        <v>47</v>
      </c>
      <c r="B729">
        <v>729</v>
      </c>
      <c r="C729">
        <v>7000</v>
      </c>
      <c r="D729">
        <v>86276</v>
      </c>
      <c r="E729">
        <v>195226</v>
      </c>
      <c r="F729">
        <v>40848</v>
      </c>
      <c r="G729">
        <v>998</v>
      </c>
      <c r="H729">
        <v>7000</v>
      </c>
      <c r="I729">
        <v>0</v>
      </c>
      <c r="J729">
        <v>95</v>
      </c>
      <c r="K729">
        <v>4648</v>
      </c>
      <c r="L729">
        <v>1385</v>
      </c>
      <c r="M729">
        <v>8.6999999999999993</v>
      </c>
    </row>
    <row r="730" spans="1:27" x14ac:dyDescent="0.3">
      <c r="A730">
        <v>49</v>
      </c>
      <c r="B730">
        <v>688</v>
      </c>
      <c r="C730">
        <v>7000</v>
      </c>
      <c r="D730">
        <v>81018</v>
      </c>
      <c r="E730">
        <v>182769</v>
      </c>
      <c r="F730">
        <v>38345</v>
      </c>
      <c r="G730">
        <v>1177</v>
      </c>
      <c r="H730">
        <v>7000</v>
      </c>
      <c r="I730">
        <v>0</v>
      </c>
      <c r="J730">
        <v>6</v>
      </c>
      <c r="K730">
        <v>4763</v>
      </c>
      <c r="L730">
        <v>1382</v>
      </c>
      <c r="M730">
        <v>8.6</v>
      </c>
    </row>
    <row r="731" spans="1:27" x14ac:dyDescent="0.3">
      <c r="A731">
        <v>52</v>
      </c>
      <c r="B731">
        <v>657</v>
      </c>
      <c r="C731">
        <v>7000</v>
      </c>
      <c r="D731">
        <v>76810</v>
      </c>
      <c r="E731">
        <v>172209</v>
      </c>
      <c r="F731">
        <v>35028</v>
      </c>
      <c r="G731">
        <v>2200</v>
      </c>
      <c r="H731">
        <v>7000</v>
      </c>
      <c r="I731">
        <v>3</v>
      </c>
      <c r="J731">
        <v>61</v>
      </c>
      <c r="K731">
        <v>11785</v>
      </c>
      <c r="L731">
        <v>3562</v>
      </c>
      <c r="M731">
        <v>23.5</v>
      </c>
    </row>
    <row r="732" spans="1:27" x14ac:dyDescent="0.3">
      <c r="A732">
        <v>56</v>
      </c>
      <c r="B732">
        <v>570</v>
      </c>
      <c r="C732">
        <v>7000</v>
      </c>
      <c r="D732">
        <v>67150</v>
      </c>
      <c r="E732">
        <v>150679</v>
      </c>
      <c r="F732">
        <v>31052</v>
      </c>
      <c r="G732">
        <v>4307</v>
      </c>
      <c r="H732">
        <v>7000</v>
      </c>
      <c r="I732">
        <v>0</v>
      </c>
      <c r="J732">
        <v>259</v>
      </c>
      <c r="K732">
        <v>45078</v>
      </c>
      <c r="L732">
        <v>11244</v>
      </c>
      <c r="M732">
        <v>62.1</v>
      </c>
    </row>
    <row r="733" spans="1:27" x14ac:dyDescent="0.3">
      <c r="A733">
        <v>60</v>
      </c>
      <c r="B733">
        <v>707</v>
      </c>
      <c r="C733">
        <v>7000</v>
      </c>
      <c r="D733">
        <v>82923</v>
      </c>
      <c r="E733">
        <v>188037</v>
      </c>
      <c r="F733">
        <v>39063</v>
      </c>
      <c r="G733">
        <v>1499</v>
      </c>
      <c r="H733">
        <v>7000</v>
      </c>
      <c r="I733">
        <v>0</v>
      </c>
      <c r="J733">
        <v>43</v>
      </c>
      <c r="K733">
        <v>8955</v>
      </c>
      <c r="L733">
        <v>2213</v>
      </c>
      <c r="M733">
        <v>12.3</v>
      </c>
    </row>
    <row r="734" spans="1:27" x14ac:dyDescent="0.3">
      <c r="A734">
        <v>61</v>
      </c>
      <c r="B734">
        <v>557</v>
      </c>
      <c r="C734">
        <v>7000</v>
      </c>
      <c r="D734">
        <v>65180</v>
      </c>
      <c r="E734">
        <v>145499</v>
      </c>
      <c r="F734">
        <v>29587</v>
      </c>
      <c r="G734">
        <v>4217</v>
      </c>
      <c r="H734">
        <v>7000</v>
      </c>
      <c r="I734">
        <v>0</v>
      </c>
      <c r="J734">
        <v>261</v>
      </c>
      <c r="K734">
        <v>39225</v>
      </c>
      <c r="L734">
        <v>9776</v>
      </c>
      <c r="M734">
        <v>53.4</v>
      </c>
    </row>
    <row r="735" spans="1:27" x14ac:dyDescent="0.3">
      <c r="A735">
        <v>68</v>
      </c>
      <c r="B735">
        <v>646</v>
      </c>
      <c r="C735">
        <v>7000</v>
      </c>
      <c r="D735">
        <v>75853</v>
      </c>
      <c r="E735">
        <v>170945</v>
      </c>
      <c r="F735">
        <v>36000</v>
      </c>
      <c r="G735">
        <v>1282</v>
      </c>
      <c r="H735">
        <v>7000</v>
      </c>
      <c r="I735">
        <v>0</v>
      </c>
      <c r="J735">
        <v>138</v>
      </c>
      <c r="K735">
        <v>5092</v>
      </c>
      <c r="L735">
        <v>1669</v>
      </c>
      <c r="M735">
        <v>7.7</v>
      </c>
    </row>
    <row r="736" spans="1:27" x14ac:dyDescent="0.3">
      <c r="A736">
        <v>78</v>
      </c>
      <c r="B736">
        <v>640</v>
      </c>
      <c r="C736">
        <v>7000</v>
      </c>
      <c r="D736">
        <v>75091</v>
      </c>
      <c r="E736">
        <v>169089</v>
      </c>
      <c r="F736">
        <v>34441</v>
      </c>
      <c r="G736">
        <v>2567</v>
      </c>
      <c r="H736">
        <v>7000</v>
      </c>
      <c r="I736">
        <v>0</v>
      </c>
      <c r="J736">
        <v>124</v>
      </c>
      <c r="K736">
        <v>17655</v>
      </c>
      <c r="L736">
        <v>4723</v>
      </c>
      <c r="M736">
        <v>31.4</v>
      </c>
    </row>
    <row r="737" spans="1:13" x14ac:dyDescent="0.3">
      <c r="A737">
        <v>79</v>
      </c>
      <c r="B737">
        <v>630</v>
      </c>
      <c r="C737">
        <v>7000</v>
      </c>
      <c r="D737">
        <v>73862</v>
      </c>
      <c r="E737">
        <v>166003</v>
      </c>
      <c r="F737">
        <v>34044</v>
      </c>
      <c r="G737">
        <v>2576</v>
      </c>
      <c r="H737">
        <v>7000</v>
      </c>
      <c r="I737">
        <v>0</v>
      </c>
      <c r="J737">
        <v>135</v>
      </c>
      <c r="K737">
        <v>16309</v>
      </c>
      <c r="L737">
        <v>4037</v>
      </c>
      <c r="M737">
        <v>23</v>
      </c>
    </row>
    <row r="738" spans="1:13" x14ac:dyDescent="0.3">
      <c r="A738">
        <v>82</v>
      </c>
      <c r="B738">
        <v>615</v>
      </c>
      <c r="C738">
        <v>7000</v>
      </c>
      <c r="D738">
        <v>72189</v>
      </c>
      <c r="E738">
        <v>162185</v>
      </c>
      <c r="F738">
        <v>32858</v>
      </c>
      <c r="G738">
        <v>4662</v>
      </c>
      <c r="H738">
        <v>7000</v>
      </c>
      <c r="I738">
        <v>59</v>
      </c>
      <c r="J738">
        <v>506</v>
      </c>
      <c r="K738">
        <v>74048</v>
      </c>
      <c r="L738">
        <v>19322</v>
      </c>
      <c r="M738">
        <v>74.8</v>
      </c>
    </row>
    <row r="739" spans="1:13" x14ac:dyDescent="0.3">
      <c r="A739">
        <v>83</v>
      </c>
      <c r="B739">
        <v>605</v>
      </c>
      <c r="C739">
        <v>7000</v>
      </c>
      <c r="D739">
        <v>70806</v>
      </c>
      <c r="E739">
        <v>159725</v>
      </c>
      <c r="F739">
        <v>33018</v>
      </c>
      <c r="G739">
        <v>2012</v>
      </c>
      <c r="H739">
        <v>7000</v>
      </c>
      <c r="I739">
        <v>0</v>
      </c>
      <c r="J739">
        <v>77</v>
      </c>
      <c r="K739">
        <v>10193</v>
      </c>
      <c r="L739">
        <v>2988</v>
      </c>
      <c r="M739">
        <v>18.2</v>
      </c>
    </row>
    <row r="740" spans="1:13" x14ac:dyDescent="0.3">
      <c r="A740">
        <v>1</v>
      </c>
      <c r="B740">
        <v>35</v>
      </c>
      <c r="C740">
        <v>3936</v>
      </c>
      <c r="D740">
        <v>6395</v>
      </c>
      <c r="E740">
        <v>4546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</row>
    <row r="741" spans="1:13" x14ac:dyDescent="0.3">
      <c r="A741">
        <v>2</v>
      </c>
      <c r="B741">
        <v>0</v>
      </c>
      <c r="C741">
        <v>6646</v>
      </c>
      <c r="D741">
        <v>3082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</row>
    <row r="742" spans="1:13" x14ac:dyDescent="0.3">
      <c r="A742">
        <v>3</v>
      </c>
      <c r="B742">
        <v>36</v>
      </c>
      <c r="C742">
        <v>3946</v>
      </c>
      <c r="D742">
        <v>6451</v>
      </c>
      <c r="E742">
        <v>4743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</row>
    <row r="743" spans="1:13" x14ac:dyDescent="0.3">
      <c r="A743">
        <v>6</v>
      </c>
      <c r="B743">
        <v>0</v>
      </c>
      <c r="C743">
        <v>6646</v>
      </c>
      <c r="D743">
        <v>3079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 x14ac:dyDescent="0.3">
      <c r="A744">
        <v>7</v>
      </c>
      <c r="B744">
        <v>3</v>
      </c>
      <c r="C744">
        <v>6188</v>
      </c>
      <c r="D744">
        <v>3449</v>
      </c>
      <c r="E744">
        <v>313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</row>
    <row r="745" spans="1:13" x14ac:dyDescent="0.3">
      <c r="A745">
        <v>8</v>
      </c>
      <c r="B745">
        <v>12</v>
      </c>
      <c r="C745">
        <v>5340</v>
      </c>
      <c r="D745">
        <v>4404</v>
      </c>
      <c r="E745">
        <v>1860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</row>
    <row r="746" spans="1:13" x14ac:dyDescent="0.3">
      <c r="A746">
        <v>10</v>
      </c>
      <c r="B746">
        <v>6</v>
      </c>
      <c r="C746">
        <v>5758</v>
      </c>
      <c r="D746">
        <v>3888</v>
      </c>
      <c r="E746">
        <v>803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</row>
    <row r="747" spans="1:13" x14ac:dyDescent="0.3">
      <c r="A747">
        <v>14</v>
      </c>
      <c r="B747">
        <v>8</v>
      </c>
      <c r="C747">
        <v>5674</v>
      </c>
      <c r="D747">
        <v>3971</v>
      </c>
      <c r="E747">
        <v>1112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 x14ac:dyDescent="0.3">
      <c r="A748">
        <v>15</v>
      </c>
      <c r="B748">
        <v>18</v>
      </c>
      <c r="C748">
        <v>4745</v>
      </c>
      <c r="D748">
        <v>4952</v>
      </c>
      <c r="E748">
        <v>2543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 x14ac:dyDescent="0.3">
      <c r="A749">
        <v>16</v>
      </c>
      <c r="B749">
        <v>15</v>
      </c>
      <c r="C749">
        <v>4987</v>
      </c>
      <c r="D749">
        <v>4700</v>
      </c>
      <c r="E749">
        <v>2095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</row>
    <row r="750" spans="1:13" x14ac:dyDescent="0.3">
      <c r="A750">
        <v>18</v>
      </c>
      <c r="B750">
        <v>8</v>
      </c>
      <c r="C750">
        <v>5519</v>
      </c>
      <c r="D750">
        <v>4016</v>
      </c>
      <c r="E750">
        <v>1084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</row>
    <row r="751" spans="1:13" x14ac:dyDescent="0.3">
      <c r="A751">
        <v>19</v>
      </c>
      <c r="B751">
        <v>23</v>
      </c>
      <c r="C751">
        <v>4135</v>
      </c>
      <c r="D751">
        <v>5389</v>
      </c>
      <c r="E751">
        <v>2848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</row>
    <row r="752" spans="1:13" x14ac:dyDescent="0.3">
      <c r="A752">
        <v>20</v>
      </c>
      <c r="B752">
        <v>24</v>
      </c>
      <c r="C752">
        <v>4265</v>
      </c>
      <c r="D752">
        <v>5471</v>
      </c>
      <c r="E752">
        <v>3184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</row>
    <row r="753" spans="1:13" x14ac:dyDescent="0.3">
      <c r="A753">
        <v>21</v>
      </c>
      <c r="B753">
        <v>15</v>
      </c>
      <c r="C753">
        <v>5032</v>
      </c>
      <c r="D753">
        <v>4709</v>
      </c>
      <c r="E753">
        <v>2164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</row>
    <row r="754" spans="1:13" x14ac:dyDescent="0.3">
      <c r="A754">
        <v>22</v>
      </c>
      <c r="B754">
        <v>15</v>
      </c>
      <c r="C754">
        <v>4911</v>
      </c>
      <c r="D754">
        <v>4700</v>
      </c>
      <c r="E754">
        <v>1954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</row>
    <row r="755" spans="1:13" x14ac:dyDescent="0.3">
      <c r="A755">
        <v>23</v>
      </c>
      <c r="B755">
        <v>23</v>
      </c>
      <c r="C755">
        <v>4326</v>
      </c>
      <c r="D755">
        <v>5357</v>
      </c>
      <c r="E755">
        <v>2951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</row>
    <row r="756" spans="1:13" x14ac:dyDescent="0.3">
      <c r="A756">
        <v>24</v>
      </c>
      <c r="B756">
        <v>30</v>
      </c>
      <c r="C756">
        <v>3933</v>
      </c>
      <c r="D756">
        <v>5964</v>
      </c>
      <c r="E756">
        <v>3779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</row>
    <row r="757" spans="1:13" x14ac:dyDescent="0.3">
      <c r="A757">
        <v>25</v>
      </c>
      <c r="B757">
        <v>4</v>
      </c>
      <c r="C757">
        <v>6020</v>
      </c>
      <c r="D757">
        <v>3501</v>
      </c>
      <c r="E757">
        <v>488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 x14ac:dyDescent="0.3">
      <c r="A758">
        <v>26</v>
      </c>
      <c r="B758">
        <v>6</v>
      </c>
      <c r="C758">
        <v>5858</v>
      </c>
      <c r="D758">
        <v>3735</v>
      </c>
      <c r="E758">
        <v>813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 x14ac:dyDescent="0.3">
      <c r="A759">
        <v>27</v>
      </c>
      <c r="B759">
        <v>11</v>
      </c>
      <c r="C759">
        <v>5359</v>
      </c>
      <c r="D759">
        <v>4307</v>
      </c>
      <c r="E759">
        <v>1627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 x14ac:dyDescent="0.3">
      <c r="A760">
        <v>28</v>
      </c>
      <c r="B760">
        <v>25</v>
      </c>
      <c r="C760">
        <v>4185</v>
      </c>
      <c r="D760">
        <v>5556</v>
      </c>
      <c r="E760">
        <v>3253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</row>
    <row r="761" spans="1:13" x14ac:dyDescent="0.3">
      <c r="A761">
        <v>30</v>
      </c>
      <c r="B761">
        <v>5</v>
      </c>
      <c r="C761">
        <v>5881</v>
      </c>
      <c r="D761">
        <v>3744</v>
      </c>
      <c r="E761">
        <v>601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</row>
    <row r="762" spans="1:13" x14ac:dyDescent="0.3">
      <c r="A762">
        <v>31</v>
      </c>
      <c r="B762">
        <v>14</v>
      </c>
      <c r="C762">
        <v>5000</v>
      </c>
      <c r="D762">
        <v>4534</v>
      </c>
      <c r="E762">
        <v>1924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</row>
    <row r="763" spans="1:13" x14ac:dyDescent="0.3">
      <c r="A763">
        <v>32</v>
      </c>
      <c r="B763">
        <v>19</v>
      </c>
      <c r="C763">
        <v>4795</v>
      </c>
      <c r="D763">
        <v>4962</v>
      </c>
      <c r="E763">
        <v>2655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</row>
    <row r="764" spans="1:13" x14ac:dyDescent="0.3">
      <c r="A764">
        <v>33</v>
      </c>
      <c r="B764">
        <v>28</v>
      </c>
      <c r="C764">
        <v>4101</v>
      </c>
      <c r="D764">
        <v>5746</v>
      </c>
      <c r="E764">
        <v>3614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 x14ac:dyDescent="0.3">
      <c r="A765">
        <v>34</v>
      </c>
      <c r="B765">
        <v>0</v>
      </c>
      <c r="C765">
        <v>6635</v>
      </c>
      <c r="D765">
        <v>3107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</row>
    <row r="766" spans="1:13" x14ac:dyDescent="0.3">
      <c r="A766">
        <v>35</v>
      </c>
      <c r="B766">
        <v>20</v>
      </c>
      <c r="C766">
        <v>4587</v>
      </c>
      <c r="D766">
        <v>5072</v>
      </c>
      <c r="E766">
        <v>2628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</row>
    <row r="767" spans="1:13" x14ac:dyDescent="0.3">
      <c r="A767">
        <v>36</v>
      </c>
      <c r="B767">
        <v>25</v>
      </c>
      <c r="C767">
        <v>4221</v>
      </c>
      <c r="D767">
        <v>5593</v>
      </c>
      <c r="E767">
        <v>3211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</row>
    <row r="768" spans="1:13" x14ac:dyDescent="0.3">
      <c r="A768">
        <v>38</v>
      </c>
      <c r="B768">
        <v>14</v>
      </c>
      <c r="C768">
        <v>5166</v>
      </c>
      <c r="D768">
        <v>4537</v>
      </c>
      <c r="E768">
        <v>2052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</row>
    <row r="769" spans="1:13" x14ac:dyDescent="0.3">
      <c r="A769">
        <v>40</v>
      </c>
      <c r="B769">
        <v>5</v>
      </c>
      <c r="C769">
        <v>5826</v>
      </c>
      <c r="D769">
        <v>3737</v>
      </c>
      <c r="E769">
        <v>562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</row>
    <row r="770" spans="1:13" x14ac:dyDescent="0.3">
      <c r="A770">
        <v>44</v>
      </c>
      <c r="B770">
        <v>27</v>
      </c>
      <c r="C770">
        <v>4142</v>
      </c>
      <c r="D770">
        <v>5762</v>
      </c>
      <c r="E770">
        <v>3577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</row>
    <row r="771" spans="1:13" x14ac:dyDescent="0.3">
      <c r="A771">
        <v>45</v>
      </c>
      <c r="B771">
        <v>16</v>
      </c>
      <c r="C771">
        <v>4755</v>
      </c>
      <c r="D771">
        <v>4784</v>
      </c>
      <c r="E771">
        <v>2009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</row>
    <row r="772" spans="1:13" x14ac:dyDescent="0.3">
      <c r="A772">
        <v>46</v>
      </c>
      <c r="B772">
        <v>2</v>
      </c>
      <c r="C772">
        <v>6094</v>
      </c>
      <c r="D772">
        <v>3348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</row>
    <row r="773" spans="1:13" x14ac:dyDescent="0.3">
      <c r="A773">
        <v>48</v>
      </c>
      <c r="B773">
        <v>1</v>
      </c>
      <c r="C773">
        <v>6323</v>
      </c>
      <c r="D773">
        <v>3233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</row>
    <row r="774" spans="1:13" x14ac:dyDescent="0.3">
      <c r="A774">
        <v>50</v>
      </c>
      <c r="B774">
        <v>0</v>
      </c>
      <c r="C774">
        <v>6686</v>
      </c>
      <c r="D774">
        <v>3071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</row>
    <row r="775" spans="1:13" x14ac:dyDescent="0.3">
      <c r="A775">
        <v>51</v>
      </c>
      <c r="B775">
        <v>4</v>
      </c>
      <c r="C775">
        <v>6033</v>
      </c>
      <c r="D775">
        <v>3580</v>
      </c>
      <c r="E775">
        <v>457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</row>
    <row r="776" spans="1:13" x14ac:dyDescent="0.3">
      <c r="A776">
        <v>53</v>
      </c>
      <c r="B776">
        <v>9</v>
      </c>
      <c r="C776">
        <v>5444</v>
      </c>
      <c r="D776">
        <v>4091</v>
      </c>
      <c r="E776">
        <v>1161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13" x14ac:dyDescent="0.3">
      <c r="A777">
        <v>54</v>
      </c>
      <c r="B777">
        <v>7</v>
      </c>
      <c r="C777">
        <v>5726</v>
      </c>
      <c r="D777">
        <v>3876</v>
      </c>
      <c r="E777">
        <v>963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</row>
    <row r="778" spans="1:13" x14ac:dyDescent="0.3">
      <c r="A778">
        <v>55</v>
      </c>
      <c r="B778">
        <v>5</v>
      </c>
      <c r="C778">
        <v>5848</v>
      </c>
      <c r="D778">
        <v>3729</v>
      </c>
      <c r="E778">
        <v>565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</row>
    <row r="779" spans="1:13" x14ac:dyDescent="0.3">
      <c r="A779">
        <v>57</v>
      </c>
      <c r="B779">
        <v>20</v>
      </c>
      <c r="C779">
        <v>4398</v>
      </c>
      <c r="D779">
        <v>5109</v>
      </c>
      <c r="E779">
        <v>2595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</row>
    <row r="780" spans="1:13" x14ac:dyDescent="0.3">
      <c r="A780">
        <v>58</v>
      </c>
      <c r="B780">
        <v>12</v>
      </c>
      <c r="C780">
        <v>5204</v>
      </c>
      <c r="D780">
        <v>4430</v>
      </c>
      <c r="E780">
        <v>1673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</row>
    <row r="781" spans="1:13" x14ac:dyDescent="0.3">
      <c r="A781">
        <v>59</v>
      </c>
      <c r="B781">
        <v>22</v>
      </c>
      <c r="C781">
        <v>4304</v>
      </c>
      <c r="D781">
        <v>5180</v>
      </c>
      <c r="E781">
        <v>2805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</row>
    <row r="782" spans="1:13" x14ac:dyDescent="0.3">
      <c r="A782">
        <v>62</v>
      </c>
      <c r="B782">
        <v>17</v>
      </c>
      <c r="C782">
        <v>4808</v>
      </c>
      <c r="D782">
        <v>4856</v>
      </c>
      <c r="E782">
        <v>2346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</row>
    <row r="783" spans="1:13" x14ac:dyDescent="0.3">
      <c r="A783">
        <v>63</v>
      </c>
      <c r="B783">
        <v>33</v>
      </c>
      <c r="C783">
        <v>3865</v>
      </c>
      <c r="D783">
        <v>6078</v>
      </c>
      <c r="E783">
        <v>4171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</row>
    <row r="784" spans="1:13" x14ac:dyDescent="0.3">
      <c r="A784">
        <v>64</v>
      </c>
      <c r="B784">
        <v>26</v>
      </c>
      <c r="C784">
        <v>4118</v>
      </c>
      <c r="D784">
        <v>5725</v>
      </c>
      <c r="E784">
        <v>3393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</row>
    <row r="785" spans="1:13" x14ac:dyDescent="0.3">
      <c r="A785">
        <v>65</v>
      </c>
      <c r="B785">
        <v>1</v>
      </c>
      <c r="C785">
        <v>6377</v>
      </c>
      <c r="D785">
        <v>3239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</row>
    <row r="786" spans="1:13" x14ac:dyDescent="0.3">
      <c r="A786">
        <v>66</v>
      </c>
      <c r="B786">
        <v>1</v>
      </c>
      <c r="C786">
        <v>6342</v>
      </c>
      <c r="D786">
        <v>3151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</row>
    <row r="787" spans="1:13" x14ac:dyDescent="0.3">
      <c r="A787">
        <v>67</v>
      </c>
      <c r="B787">
        <v>4</v>
      </c>
      <c r="C787">
        <v>6144</v>
      </c>
      <c r="D787">
        <v>3528</v>
      </c>
      <c r="E787">
        <v>498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</row>
    <row r="788" spans="1:13" x14ac:dyDescent="0.3">
      <c r="A788">
        <v>69</v>
      </c>
      <c r="B788">
        <v>1</v>
      </c>
      <c r="C788">
        <v>6347</v>
      </c>
      <c r="D788">
        <v>3201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</row>
    <row r="789" spans="1:13" x14ac:dyDescent="0.3">
      <c r="A789">
        <v>70</v>
      </c>
      <c r="B789">
        <v>9</v>
      </c>
      <c r="C789">
        <v>5588</v>
      </c>
      <c r="D789">
        <v>4035</v>
      </c>
      <c r="E789">
        <v>1230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</row>
    <row r="790" spans="1:13" x14ac:dyDescent="0.3">
      <c r="A790">
        <v>71</v>
      </c>
      <c r="B790">
        <v>26</v>
      </c>
      <c r="C790">
        <v>4134</v>
      </c>
      <c r="D790">
        <v>5606</v>
      </c>
      <c r="E790">
        <v>3380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</row>
    <row r="791" spans="1:13" x14ac:dyDescent="0.3">
      <c r="A791">
        <v>72</v>
      </c>
      <c r="B791">
        <v>13</v>
      </c>
      <c r="C791">
        <v>5174</v>
      </c>
      <c r="D791">
        <v>4469</v>
      </c>
      <c r="E791">
        <v>1847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</row>
    <row r="792" spans="1:13" x14ac:dyDescent="0.3">
      <c r="A792">
        <v>73</v>
      </c>
      <c r="B792">
        <v>16</v>
      </c>
      <c r="C792">
        <v>4923</v>
      </c>
      <c r="D792">
        <v>4725</v>
      </c>
      <c r="E792">
        <v>2267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</row>
    <row r="793" spans="1:13" x14ac:dyDescent="0.3">
      <c r="A793">
        <v>74</v>
      </c>
      <c r="B793">
        <v>18</v>
      </c>
      <c r="C793">
        <v>4574</v>
      </c>
      <c r="D793">
        <v>4957</v>
      </c>
      <c r="E793">
        <v>2261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</row>
    <row r="794" spans="1:13" x14ac:dyDescent="0.3">
      <c r="A794">
        <v>75</v>
      </c>
      <c r="B794">
        <v>14</v>
      </c>
      <c r="C794">
        <v>5030</v>
      </c>
      <c r="D794">
        <v>4499</v>
      </c>
      <c r="E794">
        <v>1918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</row>
    <row r="795" spans="1:13" x14ac:dyDescent="0.3">
      <c r="A795">
        <v>76</v>
      </c>
      <c r="B795">
        <v>0</v>
      </c>
      <c r="C795">
        <v>6660</v>
      </c>
      <c r="D795">
        <v>3120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</row>
    <row r="796" spans="1:13" x14ac:dyDescent="0.3">
      <c r="A796">
        <v>77</v>
      </c>
      <c r="B796">
        <v>0</v>
      </c>
      <c r="C796">
        <v>6679</v>
      </c>
      <c r="D796">
        <v>3103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</row>
    <row r="797" spans="1:13" x14ac:dyDescent="0.3">
      <c r="A797">
        <v>80</v>
      </c>
      <c r="B797">
        <v>21</v>
      </c>
      <c r="C797">
        <v>4667</v>
      </c>
      <c r="D797">
        <v>5129</v>
      </c>
      <c r="E797">
        <v>2845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</row>
    <row r="798" spans="1:13" x14ac:dyDescent="0.3">
      <c r="A798">
        <v>81</v>
      </c>
      <c r="B798">
        <v>8</v>
      </c>
      <c r="C798">
        <v>5534</v>
      </c>
      <c r="D798">
        <v>4050</v>
      </c>
      <c r="E798">
        <v>1055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</row>
    <row r="799" spans="1:13" x14ac:dyDescent="0.3">
      <c r="A799">
        <v>84</v>
      </c>
      <c r="B799">
        <v>19</v>
      </c>
      <c r="C799">
        <v>4766</v>
      </c>
      <c r="D799">
        <v>4965</v>
      </c>
      <c r="E799">
        <v>2680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 x14ac:dyDescent="0.3">
      <c r="A800">
        <v>85</v>
      </c>
      <c r="B800">
        <v>11</v>
      </c>
      <c r="C800">
        <v>5321</v>
      </c>
      <c r="D800">
        <v>4256</v>
      </c>
      <c r="E800">
        <v>1573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 x14ac:dyDescent="0.3">
      <c r="A801">
        <v>86</v>
      </c>
      <c r="B801">
        <v>11</v>
      </c>
      <c r="C801">
        <v>5291</v>
      </c>
      <c r="D801">
        <v>4325</v>
      </c>
      <c r="E801">
        <v>1574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</row>
    <row r="802" spans="1:13" x14ac:dyDescent="0.3">
      <c r="A802">
        <v>87</v>
      </c>
      <c r="B802">
        <v>18</v>
      </c>
      <c r="C802">
        <v>4665</v>
      </c>
      <c r="D802">
        <v>4940</v>
      </c>
      <c r="E802">
        <v>2441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</row>
    <row r="803" spans="1:13" x14ac:dyDescent="0.3">
      <c r="A803">
        <v>88</v>
      </c>
      <c r="B803">
        <v>33</v>
      </c>
      <c r="C803">
        <v>4013</v>
      </c>
      <c r="D803">
        <v>6291</v>
      </c>
      <c r="E803">
        <v>4409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 x14ac:dyDescent="0.3">
      <c r="A804">
        <v>89</v>
      </c>
      <c r="B804">
        <v>16</v>
      </c>
      <c r="C804">
        <v>4872</v>
      </c>
      <c r="D804">
        <v>4794</v>
      </c>
      <c r="E804">
        <v>2129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</row>
    <row r="805" spans="1:13" x14ac:dyDescent="0.3">
      <c r="A805">
        <v>90</v>
      </c>
      <c r="B805">
        <v>28</v>
      </c>
      <c r="C805">
        <v>3816</v>
      </c>
      <c r="D805">
        <v>5878</v>
      </c>
      <c r="E805">
        <v>3325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</row>
    <row r="806" spans="1:13" x14ac:dyDescent="0.3">
      <c r="A806">
        <v>91</v>
      </c>
      <c r="B806">
        <v>0</v>
      </c>
      <c r="C806">
        <v>6688</v>
      </c>
      <c r="D806">
        <v>3097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</row>
    <row r="807" spans="1:13" x14ac:dyDescent="0.3">
      <c r="A807">
        <v>92</v>
      </c>
      <c r="B807">
        <v>0</v>
      </c>
      <c r="C807">
        <v>6634</v>
      </c>
      <c r="D807">
        <v>3109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</row>
    <row r="808" spans="1:13" x14ac:dyDescent="0.3">
      <c r="A808">
        <v>93</v>
      </c>
      <c r="B808">
        <v>9</v>
      </c>
      <c r="C808">
        <v>5602</v>
      </c>
      <c r="D808">
        <v>4088</v>
      </c>
      <c r="E808">
        <v>1262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</row>
    <row r="809" spans="1:13" x14ac:dyDescent="0.3">
      <c r="A809">
        <v>94</v>
      </c>
      <c r="B809">
        <v>13</v>
      </c>
      <c r="C809">
        <v>5257</v>
      </c>
      <c r="D809">
        <v>4424</v>
      </c>
      <c r="E809">
        <v>1831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</row>
    <row r="810" spans="1:13" x14ac:dyDescent="0.3">
      <c r="A810">
        <v>95</v>
      </c>
      <c r="B810">
        <v>34</v>
      </c>
      <c r="C810">
        <v>3890</v>
      </c>
      <c r="D810">
        <v>6379</v>
      </c>
      <c r="E810">
        <v>4329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</row>
    <row r="811" spans="1:13" x14ac:dyDescent="0.3">
      <c r="A811">
        <v>96</v>
      </c>
      <c r="B811">
        <v>11</v>
      </c>
      <c r="C811">
        <v>5426</v>
      </c>
      <c r="D811">
        <v>4316</v>
      </c>
      <c r="E811">
        <v>1647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</row>
    <row r="812" spans="1:13" x14ac:dyDescent="0.3">
      <c r="A812">
        <v>97</v>
      </c>
      <c r="B812">
        <v>11</v>
      </c>
      <c r="C812">
        <v>5347</v>
      </c>
      <c r="D812">
        <v>4301</v>
      </c>
      <c r="E812">
        <v>1555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</row>
    <row r="813" spans="1:13" x14ac:dyDescent="0.3">
      <c r="A813">
        <v>98</v>
      </c>
      <c r="B813">
        <v>30</v>
      </c>
      <c r="C813">
        <v>3978</v>
      </c>
      <c r="D813">
        <v>5949</v>
      </c>
      <c r="E813">
        <v>3750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</row>
    <row r="814" spans="1:13" x14ac:dyDescent="0.3">
      <c r="A814">
        <v>99</v>
      </c>
      <c r="B814">
        <v>15</v>
      </c>
      <c r="C814">
        <v>4914</v>
      </c>
      <c r="D814">
        <v>4708</v>
      </c>
      <c r="E814">
        <v>2052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</row>
    <row r="815" spans="1:13" x14ac:dyDescent="0.3">
      <c r="A815">
        <v>100</v>
      </c>
      <c r="B815">
        <v>30</v>
      </c>
      <c r="C815">
        <v>3969</v>
      </c>
      <c r="D815">
        <v>6055</v>
      </c>
      <c r="E815">
        <v>3839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</row>
  </sheetData>
  <sortState xmlns:xlrd2="http://schemas.microsoft.com/office/spreadsheetml/2017/richdata2" ref="A716:M815">
    <sortCondition descending="1" ref="H716:H815"/>
  </sortState>
  <mergeCells count="16">
    <mergeCell ref="O715:O716"/>
    <mergeCell ref="P715:Q715"/>
    <mergeCell ref="R715:V715"/>
    <mergeCell ref="W715:AA715"/>
    <mergeCell ref="O409:O410"/>
    <mergeCell ref="P409:Q409"/>
    <mergeCell ref="R409:V409"/>
    <mergeCell ref="W409:AA409"/>
    <mergeCell ref="P103:Q103"/>
    <mergeCell ref="R103:V103"/>
    <mergeCell ref="W103:AA103"/>
    <mergeCell ref="O103:O104"/>
    <mergeCell ref="O307:O308"/>
    <mergeCell ref="P307:Q307"/>
    <mergeCell ref="R307:V307"/>
    <mergeCell ref="W307:AA307"/>
  </mergeCells>
  <pageMargins left="0.7" right="0.7" top="0.75" bottom="0.75" header="0.3" footer="0.3"/>
  <pageSetup paperSize="0" orientation="portrait" horizontalDpi="203" verticalDpi="203" r:id="rId1"/>
  <ignoredErrors>
    <ignoredError sqref="Z105:AA106 P105:X10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48CC4-0710-49CC-98F5-BB914B692008}">
  <dimension ref="A1:AH44"/>
  <sheetViews>
    <sheetView workbookViewId="0">
      <selection activeCell="A18" sqref="A18"/>
    </sheetView>
  </sheetViews>
  <sheetFormatPr defaultRowHeight="14.4" x14ac:dyDescent="0.3"/>
  <sheetData>
    <row r="1" spans="1:34" x14ac:dyDescent="0.3">
      <c r="W1" t="s">
        <v>0</v>
      </c>
      <c r="X1" t="s">
        <v>1</v>
      </c>
      <c r="Y1" t="s">
        <v>2</v>
      </c>
      <c r="Z1" t="s">
        <v>7</v>
      </c>
      <c r="AA1" t="s">
        <v>8</v>
      </c>
      <c r="AB1" t="s">
        <v>11</v>
      </c>
      <c r="AC1" t="s">
        <v>12</v>
      </c>
      <c r="AD1" t="s">
        <v>13</v>
      </c>
      <c r="AE1" t="s">
        <v>16</v>
      </c>
      <c r="AG1" t="s">
        <v>61</v>
      </c>
      <c r="AH1" t="s">
        <v>62</v>
      </c>
    </row>
    <row r="2" spans="1:34" x14ac:dyDescent="0.3">
      <c r="A2">
        <v>864</v>
      </c>
      <c r="B2">
        <v>0</v>
      </c>
      <c r="F2">
        <v>948</v>
      </c>
      <c r="G2">
        <v>1</v>
      </c>
      <c r="H2">
        <v>946</v>
      </c>
      <c r="I2">
        <v>1</v>
      </c>
      <c r="J2">
        <v>951</v>
      </c>
      <c r="K2">
        <v>1</v>
      </c>
      <c r="L2">
        <v>960</v>
      </c>
      <c r="M2">
        <v>1</v>
      </c>
      <c r="N2">
        <v>949</v>
      </c>
      <c r="O2">
        <v>1</v>
      </c>
      <c r="P2">
        <v>953</v>
      </c>
      <c r="Q2">
        <v>1</v>
      </c>
      <c r="R2">
        <v>954</v>
      </c>
      <c r="S2">
        <v>1</v>
      </c>
      <c r="T2">
        <v>961</v>
      </c>
      <c r="U2">
        <v>1</v>
      </c>
      <c r="W2">
        <v>1</v>
      </c>
      <c r="X2">
        <v>0</v>
      </c>
      <c r="Y2">
        <v>9517</v>
      </c>
      <c r="Z2">
        <v>1</v>
      </c>
      <c r="AA2">
        <v>1</v>
      </c>
      <c r="AB2">
        <v>23</v>
      </c>
      <c r="AC2">
        <v>6092</v>
      </c>
      <c r="AD2">
        <v>0</v>
      </c>
      <c r="AE2">
        <v>100.9</v>
      </c>
      <c r="AG2">
        <f>Z2/Y2</f>
        <v>1.0507512871703268E-4</v>
      </c>
      <c r="AH2">
        <f>AA2/Y2</f>
        <v>1.0507512871703268E-4</v>
      </c>
    </row>
    <row r="3" spans="1:34" x14ac:dyDescent="0.3">
      <c r="F3">
        <v>825</v>
      </c>
      <c r="G3">
        <v>0</v>
      </c>
      <c r="H3">
        <v>1000</v>
      </c>
      <c r="I3">
        <v>0</v>
      </c>
      <c r="J3">
        <v>960</v>
      </c>
      <c r="K3">
        <v>0</v>
      </c>
      <c r="L3">
        <v>807</v>
      </c>
      <c r="M3">
        <v>0</v>
      </c>
      <c r="N3">
        <v>851</v>
      </c>
      <c r="O3">
        <v>0</v>
      </c>
      <c r="P3">
        <v>895</v>
      </c>
      <c r="Q3">
        <v>0</v>
      </c>
      <c r="R3">
        <v>904</v>
      </c>
      <c r="S3">
        <v>0</v>
      </c>
      <c r="T3">
        <v>892</v>
      </c>
      <c r="U3">
        <v>0</v>
      </c>
      <c r="W3">
        <v>1</v>
      </c>
      <c r="X3">
        <v>42</v>
      </c>
      <c r="Y3">
        <v>10000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f t="shared" ref="AG3:AG44" si="0">Z3/Y3</f>
        <v>0</v>
      </c>
      <c r="AH3">
        <f t="shared" ref="AH3:AH44" si="1">AA3/Y3</f>
        <v>0</v>
      </c>
    </row>
    <row r="4" spans="1:34" x14ac:dyDescent="0.3">
      <c r="W4">
        <v>2</v>
      </c>
      <c r="X4">
        <v>0</v>
      </c>
      <c r="Y4">
        <v>9576</v>
      </c>
      <c r="Z4">
        <v>1</v>
      </c>
      <c r="AA4">
        <v>1</v>
      </c>
      <c r="AB4">
        <v>23</v>
      </c>
      <c r="AC4">
        <v>6092</v>
      </c>
      <c r="AD4">
        <v>0</v>
      </c>
      <c r="AE4">
        <v>100.9</v>
      </c>
      <c r="AG4">
        <f t="shared" si="0"/>
        <v>1.0442773600668337E-4</v>
      </c>
      <c r="AH4">
        <f t="shared" si="1"/>
        <v>1.0442773600668337E-4</v>
      </c>
    </row>
    <row r="5" spans="1:34" x14ac:dyDescent="0.3">
      <c r="W5">
        <v>2</v>
      </c>
      <c r="X5">
        <v>32</v>
      </c>
      <c r="Y5">
        <v>8964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G5">
        <f t="shared" si="0"/>
        <v>0</v>
      </c>
      <c r="AH5">
        <f t="shared" si="1"/>
        <v>0</v>
      </c>
    </row>
    <row r="6" spans="1:34" x14ac:dyDescent="0.3">
      <c r="W6">
        <v>3</v>
      </c>
      <c r="X6">
        <v>0</v>
      </c>
      <c r="Y6">
        <v>9520</v>
      </c>
      <c r="Z6">
        <v>1</v>
      </c>
      <c r="AA6">
        <v>1</v>
      </c>
      <c r="AB6">
        <v>23</v>
      </c>
      <c r="AC6">
        <v>6092</v>
      </c>
      <c r="AD6">
        <v>0</v>
      </c>
      <c r="AE6">
        <v>100.9</v>
      </c>
      <c r="AG6">
        <f t="shared" si="0"/>
        <v>1.050420168067227E-4</v>
      </c>
      <c r="AH6">
        <f t="shared" si="1"/>
        <v>1.050420168067227E-4</v>
      </c>
    </row>
    <row r="7" spans="1:34" x14ac:dyDescent="0.3">
      <c r="W7">
        <v>3</v>
      </c>
      <c r="X7">
        <v>100</v>
      </c>
      <c r="Y7">
        <v>10000</v>
      </c>
      <c r="Z7">
        <v>1</v>
      </c>
      <c r="AA7">
        <v>1</v>
      </c>
      <c r="AB7">
        <v>11</v>
      </c>
      <c r="AC7">
        <v>1549</v>
      </c>
      <c r="AD7">
        <v>65</v>
      </c>
      <c r="AE7">
        <v>50.9</v>
      </c>
      <c r="AG7">
        <f t="shared" si="0"/>
        <v>1E-4</v>
      </c>
      <c r="AH7">
        <f t="shared" si="1"/>
        <v>1E-4</v>
      </c>
    </row>
    <row r="8" spans="1:34" x14ac:dyDescent="0.3">
      <c r="W8">
        <v>3</v>
      </c>
      <c r="X8">
        <v>122</v>
      </c>
      <c r="Y8">
        <v>10000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G8">
        <f t="shared" si="0"/>
        <v>0</v>
      </c>
      <c r="AH8">
        <f t="shared" si="1"/>
        <v>0</v>
      </c>
    </row>
    <row r="9" spans="1:34" x14ac:dyDescent="0.3">
      <c r="W9">
        <v>4</v>
      </c>
      <c r="X9">
        <v>0</v>
      </c>
      <c r="Y9">
        <v>9533</v>
      </c>
      <c r="Z9">
        <v>1</v>
      </c>
      <c r="AA9">
        <v>1</v>
      </c>
      <c r="AB9">
        <v>23</v>
      </c>
      <c r="AC9">
        <v>6092</v>
      </c>
      <c r="AD9">
        <v>0</v>
      </c>
      <c r="AE9">
        <v>100.9</v>
      </c>
      <c r="AG9">
        <f t="shared" si="0"/>
        <v>1.0489877268435959E-4</v>
      </c>
      <c r="AH9">
        <f t="shared" si="1"/>
        <v>1.0489877268435959E-4</v>
      </c>
    </row>
    <row r="10" spans="1:34" x14ac:dyDescent="0.3">
      <c r="A10" t="s">
        <v>58</v>
      </c>
      <c r="B10" t="s">
        <v>2</v>
      </c>
      <c r="C10" t="s">
        <v>59</v>
      </c>
      <c r="D10" t="s">
        <v>60</v>
      </c>
      <c r="W10">
        <v>4</v>
      </c>
      <c r="X10">
        <v>100</v>
      </c>
      <c r="Y10">
        <v>10000</v>
      </c>
      <c r="Z10">
        <v>9</v>
      </c>
      <c r="AA10">
        <v>9</v>
      </c>
      <c r="AB10">
        <v>71</v>
      </c>
      <c r="AC10">
        <v>10402</v>
      </c>
      <c r="AD10">
        <v>445</v>
      </c>
      <c r="AE10">
        <v>100.9</v>
      </c>
      <c r="AG10">
        <f t="shared" si="0"/>
        <v>8.9999999999999998E-4</v>
      </c>
      <c r="AH10">
        <f t="shared" si="1"/>
        <v>8.9999999999999998E-4</v>
      </c>
    </row>
    <row r="11" spans="1:34" x14ac:dyDescent="0.3">
      <c r="A11">
        <v>17</v>
      </c>
      <c r="B11">
        <v>864</v>
      </c>
      <c r="C11">
        <v>0</v>
      </c>
      <c r="E11">
        <v>0</v>
      </c>
      <c r="F11">
        <v>958</v>
      </c>
      <c r="G11">
        <v>1</v>
      </c>
      <c r="H11">
        <f>G11/F11</f>
        <v>1.0438413361169101E-3</v>
      </c>
      <c r="W11">
        <v>4</v>
      </c>
      <c r="X11">
        <v>200</v>
      </c>
      <c r="Y11">
        <v>10000</v>
      </c>
      <c r="Z11">
        <v>53</v>
      </c>
      <c r="AA11">
        <v>54</v>
      </c>
      <c r="AB11">
        <v>39</v>
      </c>
      <c r="AC11">
        <v>4541</v>
      </c>
      <c r="AD11">
        <v>501</v>
      </c>
      <c r="AE11">
        <v>23.8</v>
      </c>
      <c r="AG11">
        <f t="shared" si="0"/>
        <v>5.3E-3</v>
      </c>
      <c r="AH11">
        <f t="shared" si="1"/>
        <v>5.4000000000000003E-3</v>
      </c>
    </row>
    <row r="12" spans="1:34" x14ac:dyDescent="0.3">
      <c r="E12">
        <v>100</v>
      </c>
      <c r="F12">
        <v>1000</v>
      </c>
      <c r="G12">
        <v>16</v>
      </c>
      <c r="H12">
        <f t="shared" ref="H12:H17" si="2">G12/F12</f>
        <v>1.6E-2</v>
      </c>
      <c r="W12">
        <v>4</v>
      </c>
      <c r="X12">
        <v>300</v>
      </c>
      <c r="Y12">
        <v>10000</v>
      </c>
      <c r="Z12">
        <v>273</v>
      </c>
      <c r="AA12">
        <v>513</v>
      </c>
      <c r="AB12">
        <v>39</v>
      </c>
      <c r="AC12">
        <v>4534</v>
      </c>
      <c r="AD12">
        <v>699</v>
      </c>
      <c r="AE12">
        <v>14.6</v>
      </c>
      <c r="AG12">
        <f t="shared" si="0"/>
        <v>2.7300000000000001E-2</v>
      </c>
      <c r="AH12">
        <f t="shared" si="1"/>
        <v>5.1299999999999998E-2</v>
      </c>
    </row>
    <row r="13" spans="1:34" x14ac:dyDescent="0.3">
      <c r="E13">
        <v>200</v>
      </c>
      <c r="F13">
        <v>1000</v>
      </c>
      <c r="G13">
        <v>89</v>
      </c>
      <c r="H13">
        <f t="shared" si="2"/>
        <v>8.8999999999999996E-2</v>
      </c>
      <c r="W13">
        <v>4</v>
      </c>
      <c r="X13">
        <v>400</v>
      </c>
      <c r="Y13">
        <v>10000</v>
      </c>
      <c r="Z13">
        <v>524</v>
      </c>
      <c r="AA13">
        <v>3406</v>
      </c>
      <c r="AB13">
        <v>16</v>
      </c>
      <c r="AC13">
        <v>4528</v>
      </c>
      <c r="AD13">
        <v>817</v>
      </c>
      <c r="AE13">
        <v>11.6</v>
      </c>
      <c r="AG13">
        <f t="shared" si="0"/>
        <v>5.2400000000000002E-2</v>
      </c>
      <c r="AH13">
        <f t="shared" si="1"/>
        <v>0.34060000000000001</v>
      </c>
    </row>
    <row r="14" spans="1:34" x14ac:dyDescent="0.3">
      <c r="E14">
        <v>300</v>
      </c>
      <c r="F14">
        <v>1000</v>
      </c>
      <c r="G14">
        <v>274</v>
      </c>
      <c r="H14">
        <f t="shared" si="2"/>
        <v>0.27400000000000002</v>
      </c>
      <c r="W14">
        <v>4</v>
      </c>
      <c r="X14">
        <v>500</v>
      </c>
      <c r="Y14">
        <v>10000</v>
      </c>
      <c r="Z14">
        <v>733</v>
      </c>
      <c r="AA14">
        <v>9145</v>
      </c>
      <c r="AB14">
        <v>34</v>
      </c>
      <c r="AC14">
        <v>4657</v>
      </c>
      <c r="AD14">
        <v>1030</v>
      </c>
      <c r="AE14">
        <v>10.9</v>
      </c>
      <c r="AG14">
        <f t="shared" si="0"/>
        <v>7.3300000000000004E-2</v>
      </c>
      <c r="AH14">
        <f t="shared" si="1"/>
        <v>0.91449999999999998</v>
      </c>
    </row>
    <row r="15" spans="1:34" x14ac:dyDescent="0.3">
      <c r="E15">
        <v>400</v>
      </c>
      <c r="F15">
        <v>1000</v>
      </c>
      <c r="G15">
        <v>623</v>
      </c>
      <c r="H15">
        <f t="shared" si="2"/>
        <v>0.623</v>
      </c>
      <c r="W15">
        <v>4</v>
      </c>
      <c r="X15">
        <v>600</v>
      </c>
      <c r="Y15">
        <v>10000</v>
      </c>
      <c r="Z15">
        <v>943</v>
      </c>
      <c r="AA15">
        <v>9997</v>
      </c>
      <c r="AB15">
        <v>44</v>
      </c>
      <c r="AC15">
        <v>5038</v>
      </c>
      <c r="AD15">
        <v>1216</v>
      </c>
      <c r="AE15">
        <v>9.6999999999999993</v>
      </c>
      <c r="AG15">
        <f t="shared" si="0"/>
        <v>9.4299999999999995E-2</v>
      </c>
      <c r="AH15">
        <f t="shared" si="1"/>
        <v>0.99970000000000003</v>
      </c>
    </row>
    <row r="16" spans="1:34" x14ac:dyDescent="0.3">
      <c r="E16">
        <v>500</v>
      </c>
      <c r="F16">
        <v>1000</v>
      </c>
      <c r="G16">
        <v>983</v>
      </c>
      <c r="H16">
        <f t="shared" si="2"/>
        <v>0.98299999999999998</v>
      </c>
      <c r="W16">
        <v>4</v>
      </c>
      <c r="X16">
        <v>607</v>
      </c>
      <c r="Y16">
        <v>10000</v>
      </c>
      <c r="Z16">
        <v>966</v>
      </c>
      <c r="AA16">
        <v>10000</v>
      </c>
      <c r="AB16">
        <v>42</v>
      </c>
      <c r="AC16">
        <v>5151</v>
      </c>
      <c r="AD16">
        <v>1264</v>
      </c>
      <c r="AE16">
        <v>9.6999999999999993</v>
      </c>
      <c r="AG16">
        <f t="shared" si="0"/>
        <v>9.6600000000000005E-2</v>
      </c>
      <c r="AH16">
        <f t="shared" si="1"/>
        <v>1</v>
      </c>
    </row>
    <row r="17" spans="5:34" x14ac:dyDescent="0.3">
      <c r="E17">
        <v>547</v>
      </c>
      <c r="F17">
        <v>1000</v>
      </c>
      <c r="G17">
        <v>1000</v>
      </c>
      <c r="H17">
        <f t="shared" si="2"/>
        <v>1</v>
      </c>
      <c r="W17">
        <v>5</v>
      </c>
      <c r="X17">
        <v>0</v>
      </c>
      <c r="Y17">
        <v>9539</v>
      </c>
      <c r="Z17">
        <v>1</v>
      </c>
      <c r="AA17">
        <v>1</v>
      </c>
      <c r="AB17">
        <v>23</v>
      </c>
      <c r="AC17">
        <v>6092</v>
      </c>
      <c r="AD17">
        <v>0</v>
      </c>
      <c r="AE17">
        <v>100.9</v>
      </c>
      <c r="AG17">
        <f t="shared" si="0"/>
        <v>1.0483279169724289E-4</v>
      </c>
      <c r="AH17">
        <f t="shared" si="1"/>
        <v>1.0483279169724289E-4</v>
      </c>
    </row>
    <row r="18" spans="5:34" x14ac:dyDescent="0.3">
      <c r="W18">
        <v>5</v>
      </c>
      <c r="X18">
        <v>15</v>
      </c>
      <c r="Y18">
        <v>8705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G18">
        <f t="shared" si="0"/>
        <v>0</v>
      </c>
      <c r="AH18">
        <f t="shared" si="1"/>
        <v>0</v>
      </c>
    </row>
    <row r="19" spans="5:34" x14ac:dyDescent="0.3">
      <c r="W19">
        <v>6</v>
      </c>
      <c r="X19">
        <v>0</v>
      </c>
      <c r="Y19">
        <v>9547</v>
      </c>
      <c r="Z19">
        <v>1</v>
      </c>
      <c r="AA19">
        <v>1</v>
      </c>
      <c r="AB19">
        <v>23</v>
      </c>
      <c r="AC19">
        <v>6092</v>
      </c>
      <c r="AD19">
        <v>0</v>
      </c>
      <c r="AE19">
        <v>100.9</v>
      </c>
      <c r="AG19">
        <f t="shared" si="0"/>
        <v>1.0474494605635278E-4</v>
      </c>
      <c r="AH19">
        <f t="shared" si="1"/>
        <v>1.0474494605635278E-4</v>
      </c>
    </row>
    <row r="20" spans="5:34" x14ac:dyDescent="0.3">
      <c r="W20">
        <v>6</v>
      </c>
      <c r="X20">
        <v>100</v>
      </c>
      <c r="Y20">
        <v>10000</v>
      </c>
      <c r="Z20">
        <v>31</v>
      </c>
      <c r="AA20">
        <v>31</v>
      </c>
      <c r="AB20">
        <v>128</v>
      </c>
      <c r="AC20">
        <v>18836</v>
      </c>
      <c r="AD20">
        <v>1129</v>
      </c>
      <c r="AE20">
        <v>96.3</v>
      </c>
      <c r="AG20">
        <f t="shared" si="0"/>
        <v>3.0999999999999999E-3</v>
      </c>
      <c r="AH20">
        <f t="shared" si="1"/>
        <v>3.0999999999999999E-3</v>
      </c>
    </row>
    <row r="21" spans="5:34" x14ac:dyDescent="0.3">
      <c r="W21">
        <v>6</v>
      </c>
      <c r="X21">
        <v>200</v>
      </c>
      <c r="Y21">
        <v>10000</v>
      </c>
      <c r="Z21">
        <v>297</v>
      </c>
      <c r="AA21">
        <v>306</v>
      </c>
      <c r="AB21">
        <v>120</v>
      </c>
      <c r="AC21">
        <v>18681</v>
      </c>
      <c r="AD21">
        <v>2051</v>
      </c>
      <c r="AE21">
        <v>69.8</v>
      </c>
      <c r="AG21">
        <f t="shared" si="0"/>
        <v>2.9700000000000001E-2</v>
      </c>
      <c r="AH21">
        <f t="shared" si="1"/>
        <v>3.0599999999999999E-2</v>
      </c>
    </row>
    <row r="22" spans="5:34" x14ac:dyDescent="0.3">
      <c r="W22">
        <v>6</v>
      </c>
      <c r="X22">
        <v>300</v>
      </c>
      <c r="Y22">
        <v>10000</v>
      </c>
      <c r="Z22">
        <v>1130</v>
      </c>
      <c r="AA22">
        <v>2069</v>
      </c>
      <c r="AB22">
        <v>122</v>
      </c>
      <c r="AC22">
        <v>14112</v>
      </c>
      <c r="AD22">
        <v>2277</v>
      </c>
      <c r="AE22">
        <v>46.5</v>
      </c>
      <c r="AG22">
        <f t="shared" si="0"/>
        <v>0.113</v>
      </c>
      <c r="AH22">
        <f t="shared" si="1"/>
        <v>0.2069</v>
      </c>
    </row>
    <row r="23" spans="5:34" x14ac:dyDescent="0.3">
      <c r="W23">
        <v>6</v>
      </c>
      <c r="X23">
        <v>400</v>
      </c>
      <c r="Y23">
        <v>10000</v>
      </c>
      <c r="Z23">
        <v>1924</v>
      </c>
      <c r="AA23">
        <v>7493</v>
      </c>
      <c r="AB23">
        <v>93</v>
      </c>
      <c r="AC23">
        <v>13573</v>
      </c>
      <c r="AD23">
        <v>2773</v>
      </c>
      <c r="AE23">
        <v>35.5</v>
      </c>
      <c r="AG23">
        <f t="shared" si="0"/>
        <v>0.19239999999999999</v>
      </c>
      <c r="AH23">
        <f t="shared" si="1"/>
        <v>0.74929999999999997</v>
      </c>
    </row>
    <row r="24" spans="5:34" x14ac:dyDescent="0.3">
      <c r="W24">
        <v>6</v>
      </c>
      <c r="X24">
        <v>500</v>
      </c>
      <c r="Y24">
        <v>10000</v>
      </c>
      <c r="Z24">
        <v>2356</v>
      </c>
      <c r="AA24">
        <v>9962</v>
      </c>
      <c r="AB24">
        <v>70</v>
      </c>
      <c r="AC24">
        <v>11317</v>
      </c>
      <c r="AD24">
        <v>3116</v>
      </c>
      <c r="AE24">
        <v>27.2</v>
      </c>
      <c r="AG24">
        <f t="shared" si="0"/>
        <v>0.2356</v>
      </c>
      <c r="AH24">
        <f t="shared" si="1"/>
        <v>0.99619999999999997</v>
      </c>
    </row>
    <row r="25" spans="5:34" x14ac:dyDescent="0.3">
      <c r="W25">
        <v>6</v>
      </c>
      <c r="X25">
        <v>540</v>
      </c>
      <c r="Y25">
        <v>10000</v>
      </c>
      <c r="Z25">
        <v>2425</v>
      </c>
      <c r="AA25">
        <v>10000</v>
      </c>
      <c r="AB25">
        <v>64</v>
      </c>
      <c r="AC25">
        <v>11207</v>
      </c>
      <c r="AD25">
        <v>3201</v>
      </c>
      <c r="AE25">
        <v>25.2</v>
      </c>
      <c r="AG25">
        <f t="shared" si="0"/>
        <v>0.24249999999999999</v>
      </c>
      <c r="AH25">
        <f t="shared" si="1"/>
        <v>1</v>
      </c>
    </row>
    <row r="26" spans="5:34" x14ac:dyDescent="0.3">
      <c r="W26">
        <v>7</v>
      </c>
      <c r="X26">
        <v>0</v>
      </c>
      <c r="Y26">
        <v>9550</v>
      </c>
      <c r="Z26">
        <v>1</v>
      </c>
      <c r="AA26">
        <v>1</v>
      </c>
      <c r="AB26">
        <v>23</v>
      </c>
      <c r="AC26">
        <v>6092</v>
      </c>
      <c r="AD26">
        <v>0</v>
      </c>
      <c r="AE26">
        <v>100.9</v>
      </c>
      <c r="AG26">
        <f t="shared" si="0"/>
        <v>1.0471204188481675E-4</v>
      </c>
      <c r="AH26">
        <f t="shared" si="1"/>
        <v>1.0471204188481675E-4</v>
      </c>
    </row>
    <row r="27" spans="5:34" x14ac:dyDescent="0.3">
      <c r="W27">
        <v>7</v>
      </c>
      <c r="X27">
        <v>4</v>
      </c>
      <c r="Y27">
        <v>9558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G27">
        <f t="shared" si="0"/>
        <v>0</v>
      </c>
      <c r="AH27">
        <f t="shared" si="1"/>
        <v>0</v>
      </c>
    </row>
    <row r="28" spans="5:34" x14ac:dyDescent="0.3">
      <c r="W28">
        <v>8</v>
      </c>
      <c r="X28">
        <v>0</v>
      </c>
      <c r="Y28">
        <v>9537</v>
      </c>
      <c r="Z28">
        <v>1</v>
      </c>
      <c r="AA28">
        <v>1</v>
      </c>
      <c r="AB28">
        <v>23</v>
      </c>
      <c r="AC28">
        <v>6092</v>
      </c>
      <c r="AD28">
        <v>0</v>
      </c>
      <c r="AE28">
        <v>100.9</v>
      </c>
      <c r="AG28">
        <f t="shared" si="0"/>
        <v>1.0485477613505295E-4</v>
      </c>
      <c r="AH28">
        <f t="shared" si="1"/>
        <v>1.0485477613505295E-4</v>
      </c>
    </row>
    <row r="29" spans="5:34" x14ac:dyDescent="0.3">
      <c r="W29">
        <v>8</v>
      </c>
      <c r="X29">
        <v>100</v>
      </c>
      <c r="Y29">
        <v>10000</v>
      </c>
      <c r="Z29">
        <v>36</v>
      </c>
      <c r="AA29">
        <v>36</v>
      </c>
      <c r="AB29">
        <v>187</v>
      </c>
      <c r="AC29">
        <v>25426</v>
      </c>
      <c r="AD29">
        <v>1480</v>
      </c>
      <c r="AE29">
        <v>99.7</v>
      </c>
      <c r="AG29">
        <f t="shared" si="0"/>
        <v>3.5999999999999999E-3</v>
      </c>
      <c r="AH29">
        <f t="shared" si="1"/>
        <v>3.5999999999999999E-3</v>
      </c>
    </row>
    <row r="30" spans="5:34" x14ac:dyDescent="0.3">
      <c r="W30">
        <v>8</v>
      </c>
      <c r="X30">
        <v>200</v>
      </c>
      <c r="Y30">
        <v>10000</v>
      </c>
      <c r="Z30">
        <v>380</v>
      </c>
      <c r="AA30">
        <v>394</v>
      </c>
      <c r="AB30">
        <v>225</v>
      </c>
      <c r="AC30">
        <v>31818</v>
      </c>
      <c r="AD30">
        <v>3277</v>
      </c>
      <c r="AE30">
        <v>84.5</v>
      </c>
      <c r="AG30">
        <f t="shared" si="0"/>
        <v>3.7999999999999999E-2</v>
      </c>
      <c r="AH30">
        <f t="shared" si="1"/>
        <v>3.9399999999999998E-2</v>
      </c>
    </row>
    <row r="31" spans="5:34" x14ac:dyDescent="0.3">
      <c r="W31">
        <v>8</v>
      </c>
      <c r="X31">
        <v>300</v>
      </c>
      <c r="Y31">
        <v>10000</v>
      </c>
      <c r="Z31">
        <v>1586</v>
      </c>
      <c r="AA31">
        <v>2477</v>
      </c>
      <c r="AB31">
        <v>186</v>
      </c>
      <c r="AC31">
        <v>32061</v>
      </c>
      <c r="AD31">
        <v>4478</v>
      </c>
      <c r="AE31">
        <v>70.599999999999994</v>
      </c>
      <c r="AG31">
        <f t="shared" si="0"/>
        <v>0.15859999999999999</v>
      </c>
      <c r="AH31">
        <f t="shared" si="1"/>
        <v>0.2477</v>
      </c>
    </row>
    <row r="32" spans="5:34" x14ac:dyDescent="0.3">
      <c r="W32">
        <v>8</v>
      </c>
      <c r="X32">
        <v>400</v>
      </c>
      <c r="Y32">
        <v>10000</v>
      </c>
      <c r="Z32">
        <v>2835</v>
      </c>
      <c r="AA32">
        <v>7016</v>
      </c>
      <c r="AB32">
        <v>153</v>
      </c>
      <c r="AC32">
        <v>32068</v>
      </c>
      <c r="AD32">
        <v>5663</v>
      </c>
      <c r="AE32">
        <v>56.6</v>
      </c>
      <c r="AG32">
        <f t="shared" si="0"/>
        <v>0.28349999999999997</v>
      </c>
      <c r="AH32">
        <f t="shared" si="1"/>
        <v>0.7016</v>
      </c>
    </row>
    <row r="33" spans="23:34" x14ac:dyDescent="0.3">
      <c r="W33">
        <v>8</v>
      </c>
      <c r="X33">
        <v>500</v>
      </c>
      <c r="Y33">
        <v>10000</v>
      </c>
      <c r="Z33">
        <v>3832</v>
      </c>
      <c r="AA33">
        <v>9647</v>
      </c>
      <c r="AB33">
        <v>171</v>
      </c>
      <c r="AC33">
        <v>35083</v>
      </c>
      <c r="AD33">
        <v>7170</v>
      </c>
      <c r="AE33">
        <v>49.7</v>
      </c>
      <c r="AG33">
        <f t="shared" si="0"/>
        <v>0.38319999999999999</v>
      </c>
      <c r="AH33">
        <f t="shared" si="1"/>
        <v>0.9647</v>
      </c>
    </row>
    <row r="34" spans="23:34" x14ac:dyDescent="0.3">
      <c r="W34">
        <v>8</v>
      </c>
      <c r="X34">
        <v>600</v>
      </c>
      <c r="Y34">
        <v>10000</v>
      </c>
      <c r="Z34">
        <v>4596</v>
      </c>
      <c r="AA34">
        <v>9998</v>
      </c>
      <c r="AB34">
        <v>218</v>
      </c>
      <c r="AC34">
        <v>36702</v>
      </c>
      <c r="AD34">
        <v>8332</v>
      </c>
      <c r="AE34">
        <v>44.6</v>
      </c>
      <c r="AG34">
        <f t="shared" si="0"/>
        <v>0.45960000000000001</v>
      </c>
      <c r="AH34">
        <f t="shared" si="1"/>
        <v>0.99980000000000002</v>
      </c>
    </row>
    <row r="35" spans="23:34" x14ac:dyDescent="0.3">
      <c r="W35">
        <v>8</v>
      </c>
      <c r="X35">
        <v>609</v>
      </c>
      <c r="Y35">
        <v>10000</v>
      </c>
      <c r="Z35">
        <v>4644</v>
      </c>
      <c r="AA35">
        <v>10000</v>
      </c>
      <c r="AB35">
        <v>212</v>
      </c>
      <c r="AC35">
        <v>36277</v>
      </c>
      <c r="AD35">
        <v>8342</v>
      </c>
      <c r="AE35">
        <v>43.6</v>
      </c>
      <c r="AG35">
        <f t="shared" si="0"/>
        <v>0.46439999999999998</v>
      </c>
      <c r="AH35">
        <f t="shared" si="1"/>
        <v>1</v>
      </c>
    </row>
    <row r="36" spans="23:34" x14ac:dyDescent="0.3">
      <c r="W36">
        <v>9</v>
      </c>
      <c r="X36">
        <v>0</v>
      </c>
      <c r="Y36">
        <v>9560</v>
      </c>
      <c r="Z36">
        <v>1</v>
      </c>
      <c r="AA36">
        <v>1</v>
      </c>
      <c r="AB36">
        <v>23</v>
      </c>
      <c r="AC36">
        <v>6092</v>
      </c>
      <c r="AD36">
        <v>0</v>
      </c>
      <c r="AE36">
        <v>100.9</v>
      </c>
      <c r="AG36">
        <f t="shared" si="0"/>
        <v>1.0460251046025104E-4</v>
      </c>
      <c r="AH36">
        <f t="shared" si="1"/>
        <v>1.0460251046025104E-4</v>
      </c>
    </row>
    <row r="37" spans="23:34" x14ac:dyDescent="0.3">
      <c r="W37">
        <v>9</v>
      </c>
      <c r="X37">
        <v>100</v>
      </c>
      <c r="Y37">
        <v>10000</v>
      </c>
      <c r="Z37">
        <v>71</v>
      </c>
      <c r="AA37">
        <v>71</v>
      </c>
      <c r="AB37">
        <v>299</v>
      </c>
      <c r="AC37">
        <v>42607</v>
      </c>
      <c r="AD37">
        <v>2680</v>
      </c>
      <c r="AE37">
        <v>100</v>
      </c>
      <c r="AG37">
        <f t="shared" si="0"/>
        <v>7.1000000000000004E-3</v>
      </c>
      <c r="AH37">
        <f t="shared" si="1"/>
        <v>7.1000000000000004E-3</v>
      </c>
    </row>
    <row r="38" spans="23:34" x14ac:dyDescent="0.3">
      <c r="W38">
        <v>9</v>
      </c>
      <c r="X38">
        <v>200</v>
      </c>
      <c r="Y38">
        <v>10000</v>
      </c>
      <c r="Z38">
        <v>412</v>
      </c>
      <c r="AA38">
        <v>419</v>
      </c>
      <c r="AB38">
        <v>206</v>
      </c>
      <c r="AC38">
        <v>33809</v>
      </c>
      <c r="AD38">
        <v>3587</v>
      </c>
      <c r="AE38">
        <v>93.3</v>
      </c>
      <c r="AG38">
        <f t="shared" si="0"/>
        <v>4.1200000000000001E-2</v>
      </c>
      <c r="AH38">
        <f t="shared" si="1"/>
        <v>4.19E-2</v>
      </c>
    </row>
    <row r="39" spans="23:34" x14ac:dyDescent="0.3">
      <c r="W39">
        <v>9</v>
      </c>
      <c r="X39">
        <v>300</v>
      </c>
      <c r="Y39">
        <v>10000</v>
      </c>
      <c r="Z39">
        <v>1740</v>
      </c>
      <c r="AA39">
        <v>2746</v>
      </c>
      <c r="AB39">
        <v>213</v>
      </c>
      <c r="AC39">
        <v>29284</v>
      </c>
      <c r="AD39">
        <v>4603</v>
      </c>
      <c r="AE39">
        <v>74.400000000000006</v>
      </c>
      <c r="AG39">
        <f t="shared" si="0"/>
        <v>0.17399999999999999</v>
      </c>
      <c r="AH39">
        <f t="shared" si="1"/>
        <v>0.27460000000000001</v>
      </c>
    </row>
    <row r="40" spans="23:34" x14ac:dyDescent="0.3">
      <c r="W40">
        <v>9</v>
      </c>
      <c r="X40">
        <v>400</v>
      </c>
      <c r="Y40">
        <v>10000</v>
      </c>
      <c r="Z40">
        <v>3146</v>
      </c>
      <c r="AA40">
        <v>8160</v>
      </c>
      <c r="AB40">
        <v>179</v>
      </c>
      <c r="AC40">
        <v>28331</v>
      </c>
      <c r="AD40">
        <v>5707</v>
      </c>
      <c r="AE40">
        <v>59.7</v>
      </c>
      <c r="AG40">
        <f t="shared" si="0"/>
        <v>0.31459999999999999</v>
      </c>
      <c r="AH40">
        <f t="shared" si="1"/>
        <v>0.81599999999999995</v>
      </c>
    </row>
    <row r="41" spans="23:34" x14ac:dyDescent="0.3">
      <c r="W41">
        <v>9</v>
      </c>
      <c r="X41">
        <v>500</v>
      </c>
      <c r="Y41">
        <v>10000</v>
      </c>
      <c r="Z41">
        <v>4084</v>
      </c>
      <c r="AA41">
        <v>9974</v>
      </c>
      <c r="AB41">
        <v>179</v>
      </c>
      <c r="AC41">
        <v>27905</v>
      </c>
      <c r="AD41">
        <v>6951</v>
      </c>
      <c r="AE41">
        <v>50.1</v>
      </c>
      <c r="AG41">
        <f t="shared" si="0"/>
        <v>0.40839999999999999</v>
      </c>
      <c r="AH41">
        <f t="shared" si="1"/>
        <v>0.99739999999999995</v>
      </c>
    </row>
    <row r="42" spans="23:34" x14ac:dyDescent="0.3">
      <c r="W42">
        <v>9</v>
      </c>
      <c r="X42">
        <v>548</v>
      </c>
      <c r="Y42">
        <v>10000</v>
      </c>
      <c r="Z42">
        <v>4477</v>
      </c>
      <c r="AA42">
        <v>10000</v>
      </c>
      <c r="AB42">
        <v>161</v>
      </c>
      <c r="AC42">
        <v>29039</v>
      </c>
      <c r="AD42">
        <v>7677</v>
      </c>
      <c r="AE42">
        <v>48.2</v>
      </c>
      <c r="AG42">
        <f t="shared" si="0"/>
        <v>0.44769999999999999</v>
      </c>
      <c r="AH42">
        <f t="shared" si="1"/>
        <v>1</v>
      </c>
    </row>
    <row r="43" spans="23:34" x14ac:dyDescent="0.3">
      <c r="W43">
        <v>10</v>
      </c>
      <c r="X43">
        <v>0</v>
      </c>
      <c r="Y43">
        <v>9514</v>
      </c>
      <c r="Z43">
        <v>1</v>
      </c>
      <c r="AA43">
        <v>1</v>
      </c>
      <c r="AB43">
        <v>23</v>
      </c>
      <c r="AC43">
        <v>6092</v>
      </c>
      <c r="AD43">
        <v>0</v>
      </c>
      <c r="AE43">
        <v>100.9</v>
      </c>
      <c r="AG43">
        <f t="shared" si="0"/>
        <v>1.0510826150935464E-4</v>
      </c>
      <c r="AH43">
        <f t="shared" si="1"/>
        <v>1.0510826150935464E-4</v>
      </c>
    </row>
    <row r="44" spans="23:34" x14ac:dyDescent="0.3">
      <c r="W44">
        <v>10</v>
      </c>
      <c r="X44">
        <v>4</v>
      </c>
      <c r="Y44">
        <v>9425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G44">
        <f t="shared" si="0"/>
        <v>0</v>
      </c>
      <c r="AH44">
        <f t="shared" si="1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Default_results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Carter</dc:creator>
  <cp:lastModifiedBy>Reviewer</cp:lastModifiedBy>
  <dcterms:created xsi:type="dcterms:W3CDTF">2025-07-22T18:35:19Z</dcterms:created>
  <dcterms:modified xsi:type="dcterms:W3CDTF">2025-07-25T13:53:35Z</dcterms:modified>
</cp:coreProperties>
</file>